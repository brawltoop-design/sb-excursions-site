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1. Настройки" sheetId="1" state="visible" r:id="rId3"/>
    <sheet name="2. Билеты по остановкам" sheetId="2" state="visible" r:id="rId4"/>
    <sheet name="3. Цена на 1-2-3-4 чел" sheetId="3" state="visible" r:id="rId5"/>
    <sheet name="4. Ценники на сайт" sheetId="4" state="visible" r:id="rId6"/>
    <sheet name="5. Водитель vs поставщик" sheetId="5" state="visible" r:id="rId7"/>
    <sheet name="6. Источники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<sst xmlns="http://schemas.openxmlformats.org/spreadsheetml/2006/main" count="344" uniqueCount="192">
  <si>
    <t xml:space="preserve">НАСТРОЙКИ — меняй только жёлтые ячейки, всё пересчитается само</t>
  </si>
  <si>
    <t xml:space="preserve">Синим шрифтом на жёлтом фоне = твои цифры. Чёрным = формулы, их не трогай.</t>
  </si>
  <si>
    <t xml:space="preserve">Параметр</t>
  </si>
  <si>
    <t xml:space="preserve">Значение</t>
  </si>
  <si>
    <t xml:space="preserve">Комментарий</t>
  </si>
  <si>
    <t xml:space="preserve">Курс: IDR за $1</t>
  </si>
  <si>
    <t xml:space="preserve">Проверь перед пересчётом. Все билеты собраны в рупиях.</t>
  </si>
  <si>
    <t xml:space="preserve">Водитель: $ за день до 10 часов</t>
  </si>
  <si>
    <t xml:space="preserve">Твоя договорённость. Это за МАШИНУ, не за человека.</t>
  </si>
  <si>
    <t xml:space="preserve">Водитель: $ за час переработки</t>
  </si>
  <si>
    <t xml:space="preserve">Рынок 50–100k IDR/час. Уточни у водителя.</t>
  </si>
  <si>
    <t xml:space="preserve">Вода, снеки, мелочь — $ на человека</t>
  </si>
  <si>
    <t xml:space="preserve">Бутылка воды + запас на мелкие сборы.</t>
  </si>
  <si>
    <t xml:space="preserve">Наценка (множитель на себестоимость)</t>
  </si>
  <si>
    <t xml:space="preserve">1.60 = цена в 1.6 раза выше себестоимости (маржа ~37%).</t>
  </si>
  <si>
    <t xml:space="preserve">Комиссия за приём платежа, %</t>
  </si>
  <si>
    <t xml:space="preserve">Stripe/PayPal. Уже учтена в себестоимости.</t>
  </si>
  <si>
    <t xml:space="preserve">ГЛАВНОЕ, ЧТО НАДО ПОНЯТЬ ПРО ЭТУ МАТЕМАТИКУ</t>
  </si>
  <si>
    <t xml:space="preserve">Водитель — фиксированная стоимость на машину. Билеты — переменная, на каждого человека.</t>
  </si>
  <si>
    <t xml:space="preserve">Поэтому цена за 1 человека падает с ростом группы, но не так сильно, как кажется:</t>
  </si>
  <si>
    <t xml:space="preserve">на 4 человеках билеты это ~70% себестоимости, и они не делятся.</t>
  </si>
  <si>
    <t xml:space="preserve">«From $X» на сайте = цена за 1 человека, когда едут 4. Это самая низкая цифра в лестнице.</t>
  </si>
  <si>
    <t xml:space="preserve">Она законно называется «from», потому что это реальная цена при полной машине.</t>
  </si>
  <si>
    <t xml:space="preserve">ВАЖНО: если пишешь «From $X», рядом обязательно покажи всю лестницу цен (1/2/3/4).</t>
  </si>
  <si>
    <t xml:space="preserve">Иначе человек увидит $49, напишет тебе, услышит $71 за двоих — и уйдёт. Это тот самый</t>
  </si>
  <si>
    <t xml:space="preserve">развод, от которого ты хочешь отстроиться. Прозрачная лестница = твоё преимущество.</t>
  </si>
  <si>
    <t xml:space="preserve">ВХОДНЫЕ БИЛЕТЫ ПО КАЖДОЙ ОСТАНОВКЕ — 1 взрослый иностранец, 2026</t>
  </si>
  <si>
    <t xml:space="preserve">Маршруты взяты с твоих же страниц туров (блок «Key stops»). Цены — открытые источники 2026, см. лист 5.</t>
  </si>
  <si>
    <t xml:space="preserve">Тур</t>
  </si>
  <si>
    <t xml:space="preserve">Остановка</t>
  </si>
  <si>
    <t xml:space="preserve">IDR с человека</t>
  </si>
  <si>
    <t xml:space="preserve">$ с человека</t>
  </si>
  <si>
    <t xml:space="preserve">Тип</t>
  </si>
  <si>
    <t xml:space="preserve">Ubud Highlights Tour</t>
  </si>
  <si>
    <t xml:space="preserve">Batubulan / Celuk / Mas (ремесленные деревни)</t>
  </si>
  <si>
    <t xml:space="preserve">билет</t>
  </si>
  <si>
    <t xml:space="preserve">Batuan Temple</t>
  </si>
  <si>
    <t xml:space="preserve">Pura Gunung Kawi Sebatu (вкл. саронг)</t>
  </si>
  <si>
    <t xml:space="preserve">Gunung Kawi (Tampaksiring)</t>
  </si>
  <si>
    <t xml:space="preserve">Kintamani — сбор с иностранца</t>
  </si>
  <si>
    <t xml:space="preserve">Tegalalang Rice Terrace</t>
  </si>
  <si>
    <t xml:space="preserve">Кофейная плантация (дегустация)</t>
  </si>
  <si>
    <t xml:space="preserve">Ubud Monkey Forest</t>
  </si>
  <si>
    <t xml:space="preserve">Ubud Palace</t>
  </si>
  <si>
    <t xml:space="preserve">Парковки за день</t>
  </si>
  <si>
    <t xml:space="preserve">Обед-буфет в Кинтамани (включён в тур)</t>
  </si>
  <si>
    <t xml:space="preserve">доп</t>
  </si>
  <si>
    <t xml:space="preserve">Ubud Instagram Tour</t>
  </si>
  <si>
    <t xml:space="preserve">Lempuyang — билет</t>
  </si>
  <si>
    <t xml:space="preserve">Lempuyang — обязательный шаттл</t>
  </si>
  <si>
    <t xml:space="preserve">Tirta Gangga</t>
  </si>
  <si>
    <t xml:space="preserve">Tukad Cepung Waterfall</t>
  </si>
  <si>
    <t xml:space="preserve">Качели Tegalalang (заявлены включёнными!)</t>
  </si>
  <si>
    <t xml:space="preserve">Обед по маршруту (включён в тур)</t>
  </si>
  <si>
    <t xml:space="preserve">Bali UNESCO Heritage Tour</t>
  </si>
  <si>
    <t xml:space="preserve">Taman Ayun Temple</t>
  </si>
  <si>
    <t xml:space="preserve">Ulun Danu Beratan  (подорожал 01.07.2026)</t>
  </si>
  <si>
    <t xml:space="preserve">Jatiluwih Rice Terraces</t>
  </si>
  <si>
    <t xml:space="preserve">Tanah Lot  (подорожал 01.04.2026)</t>
  </si>
  <si>
    <t xml:space="preserve">Tanah Lot &amp; Bedugul Tour</t>
  </si>
  <si>
    <t xml:space="preserve">Handara Gate</t>
  </si>
  <si>
    <t xml:space="preserve">Candikuning (рынок Бедугул)</t>
  </si>
  <si>
    <t xml:space="preserve">East Bali Instagram Tour</t>
  </si>
  <si>
    <t xml:space="preserve">Taman Ujung Water Palace</t>
  </si>
  <si>
    <t xml:space="preserve">Lahangan Sweet (вкл. шаттл наверх)</t>
  </si>
  <si>
    <t xml:space="preserve">Bali Instagram Highlights Tour</t>
  </si>
  <si>
    <t xml:space="preserve">Ulun Danu Beratan</t>
  </si>
  <si>
    <t xml:space="preserve">North Bali &amp; Lovina Dolphins</t>
  </si>
  <si>
    <t xml:space="preserve">Gitgit Waterfall</t>
  </si>
  <si>
    <t xml:space="preserve">Banyumala Waterfall</t>
  </si>
  <si>
    <t xml:space="preserve">Лодка на дельфинов, сборная</t>
  </si>
  <si>
    <t xml:space="preserve">Lovina Dolphin Sunrise Tour</t>
  </si>
  <si>
    <t xml:space="preserve">Private Car with Driver (без билетов)</t>
  </si>
  <si>
    <t xml:space="preserve">Билетов нет — клиент платит вход сам</t>
  </si>
  <si>
    <t xml:space="preserve">«билет» = вход/парковка, платится всегда.  «доп» = обед, лодка, качели — включено в тур по твоему же описанию.</t>
  </si>
  <si>
    <t xml:space="preserve">Оранжевым подсвечены «доп» — это то, что часто забывают заложить в цену.</t>
  </si>
  <si>
    <t xml:space="preserve">СЕБЕСТОИМОСТЬ И ЦЕНА ПО КОЛИЧЕСТВУ ЧЕЛОВЕК</t>
  </si>
  <si>
    <t xml:space="preserve">Строка «4» — это и есть твой «From $X» для сайта. Зелёным подсвечена.</t>
  </si>
  <si>
    <t xml:space="preserve">Людей
в машине</t>
  </si>
  <si>
    <t xml:space="preserve">Водитель
$ на 1 чел</t>
  </si>
  <si>
    <t xml:space="preserve">Билеты
$ на 1 чел</t>
  </si>
  <si>
    <t xml:space="preserve">Доп (обед/
лодка/качели)</t>
  </si>
  <si>
    <t xml:space="preserve">Вода,
мелочь</t>
  </si>
  <si>
    <t xml:space="preserve">СЕБЕСТОИМОСТЬ
$ на 1 чел</t>
  </si>
  <si>
    <t xml:space="preserve">Себестоимость
всего выезда</t>
  </si>
  <si>
    <t xml:space="preserve">ЦЕНА КЛИЕНТУ
$ на 1 чел</t>
  </si>
  <si>
    <t xml:space="preserve">Прибыль
$ на 1 чел</t>
  </si>
  <si>
    <t xml:space="preserve">Прибыль
с выезда</t>
  </si>
  <si>
    <t xml:space="preserve">Маржа %</t>
  </si>
  <si>
    <t xml:space="preserve">Серая строка «1 человек» — не для продажи, а чтобы ты видел, где ты уходишь в ноль на соло-туристе.</t>
  </si>
  <si>
    <t xml:space="preserve">Комиссия за приём платежа уже сидит в столбце «СЕБЕСТОИМОСТЬ».</t>
  </si>
  <si>
    <t xml:space="preserve">ГОТОВЫЕ ЦЕННИКИ — что ставить на страницы туров</t>
  </si>
  <si>
    <t xml:space="preserve">Колонка «From $X» — цена за человека при 4 пассажирах. Это и есть строка From на сайте.</t>
  </si>
  <si>
    <t xml:space="preserve">Сейчас
на сайте</t>
  </si>
  <si>
    <t xml:space="preserve">Единица
сейчас</t>
  </si>
  <si>
    <t xml:space="preserve">ПОЛ
(мин. цена
при 4 чел)</t>
  </si>
  <si>
    <t xml:space="preserve">СТАВЬ
From $X</t>
  </si>
  <si>
    <t xml:space="preserve">Цена за 1
(2 чел)</t>
  </si>
  <si>
    <t xml:space="preserve">Цена за 1
(3 чел)</t>
  </si>
  <si>
    <t xml:space="preserve">Прибыль с выезда
при 4 чел</t>
  </si>
  <si>
    <t xml:space="preserve">Вердикт</t>
  </si>
  <si>
    <t xml:space="preserve">Что не так сейчас</t>
  </si>
  <si>
    <t xml:space="preserve">с человека</t>
  </si>
  <si>
    <t xml:space="preserve">ОСТАВЬ. Пол $69, ты продаёшь за $70 — попал точно.</t>
  </si>
  <si>
    <t xml:space="preserve">Обед в Кинтамани включён, а в цене его часто забывают. Обезьяний лес 130k — самый дорогой билет дня. Билеты + обед = $31 с человека.</t>
  </si>
  <si>
    <t xml:space="preserve">ПОДНИМИ до $89 ИЛИ убери качели из «включено» (тогда пол $74).</t>
  </si>
  <si>
    <t xml:space="preserve">КРИТИЧНО: на странице заявлены включёнными качели Tegalalang (250–400k). Это дороже всех остальных билетов вместе. При 1–2 гостях ты на $75 уходишь В МИНУС.</t>
  </si>
  <si>
    <t xml:space="preserve">НЕ СНИЖАЙ. Пол $59, но $70 у тебя уже покупают. Забирай маржу.</t>
  </si>
  <si>
    <t xml:space="preserve">Почти тот же маршрут, что Tanah Lot &amp; Bedugul, но продаётся с человека, а тот — за машину. Один из двух ценников точно неверный.</t>
  </si>
  <si>
    <t xml:space="preserve">за машину</t>
  </si>
  <si>
    <t xml:space="preserve">ПЕРЕВЕДИ на цену с человека, билеты включи.</t>
  </si>
  <si>
    <t xml:space="preserve">Продаётся «за машину» и БЕЗ билетов. Клиент доплатит ~$24 с носа на месте. Это ровно то ощущение развода, от которого ты отстраиваешься.</t>
  </si>
  <si>
    <t xml:space="preserve">ПЕРЕВЕДИ на цену с человека. Пол $64, ставь $69 — билеты самые дорогие.</t>
  </si>
  <si>
    <t xml:space="preserve">Самый дорогой тур по билетам во всём каталоге ($27), а продаётся «за машину» без билетов. Хуже всего по восприятию.</t>
  </si>
  <si>
    <t xml:space="preserve">СНАЧАЛА почини маршрут, потом ставь $69 с человека.</t>
  </si>
  <si>
    <t xml:space="preserve">Маршрут Бедугул + Лемпуянг — это разные концы острова, ~250 км. В 10 часов не влезет. Либо разбей на два тура, либо закладывай 12 ч и переработку.</t>
  </si>
  <si>
    <t xml:space="preserve">НЕ СНИЖАЙ. Пол $49, продаёшь за $80. Самая жирная маржа в каталоге.</t>
  </si>
  <si>
    <t xml:space="preserve">10–12 часов = переработка водителя. Старт ~3 утра, уточни доплату за ночной выезд.</t>
  </si>
  <si>
    <t xml:space="preserve">НЕ СНИЖАЙ сильно. Пол $44, продаёшь $75. Ставь $69.</t>
  </si>
  <si>
    <t xml:space="preserve">Выезд в 03:00. Уточни у водителя доплату за ночной старт — её почти всегда берут.</t>
  </si>
  <si>
    <t xml:space="preserve">—</t>
  </si>
  <si>
    <t xml:space="preserve">$59 ЗА МАШИНУ до 4 чел (не с человека). Пол $37/машина.</t>
  </si>
  <si>
    <t xml:space="preserve">Единственный тур, который правильно продавать ЗА МАШИНУ, а не с человека. Билеты клиент платит сам — так и надо, просто напиши это явно.</t>
  </si>
  <si>
    <t xml:space="preserve">ПОЛ ≠ ЦЕНА. Расчёт показывает, ниже чего опускаться нельзя. Если рынок уже платит больше — не снижай.</t>
  </si>
  <si>
    <t xml:space="preserve">Колонки «2 чел» и «3 чел» — это тоже пол. К ним применяй ту же логику: не ниже пола, но и не ниже текущей цены, если она работает.</t>
  </si>
  <si>
    <t xml:space="preserve">ТЕКСТ НА СТРАНИЦУ ТУРА — копируй как есть</t>
  </si>
  <si>
    <t xml:space="preserve">From $X per person (4 travellers sharing a private car)</t>
  </si>
  <si>
    <t xml:space="preserve">Private car, English-speaking driver, hotel pickup and drop-off.</t>
  </si>
  <si>
    <t xml:space="preserve">All entrance fees included. No extra payments during the tour.</t>
  </si>
  <si>
    <t xml:space="preserve">1 traveller — $A per person</t>
  </si>
  <si>
    <t xml:space="preserve">2 travellers — $B per person</t>
  </si>
  <si>
    <t xml:space="preserve">3 travellers — $C per person</t>
  </si>
  <si>
    <t xml:space="preserve">4 travellers — $D per person</t>
  </si>
  <si>
    <t xml:space="preserve">A, B, C, D — из таблицы выше. Показывай всю лестницу, а не только From.</t>
  </si>
  <si>
    <t xml:space="preserve">СВОЙ ВОДИТЕЛЬ ИЛИ ПОСТАВЩИК ЗА $45 С ЧЕЛОВЕКА?</t>
  </si>
  <si>
    <t xml:space="preserve">Поставщик берёт фикс с человека. Свой водитель — фикс с машины. Точка перелома у каждого тура своя.</t>
  </si>
  <si>
    <t xml:space="preserve">Цена поставщика, $ с человека (из твоего teardown)</t>
  </si>
  <si>
    <t xml:space="preserve">Свой водитель
1 чел</t>
  </si>
  <si>
    <t xml:space="preserve">2 чел</t>
  </si>
  <si>
    <t xml:space="preserve">3 чел</t>
  </si>
  <si>
    <t xml:space="preserve">4 чел</t>
  </si>
  <si>
    <t xml:space="preserve">Выгода своим водителем
при 4 чел, на выезд</t>
  </si>
  <si>
    <t xml:space="preserve">С какого
числа людей выгодно</t>
  </si>
  <si>
    <t xml:space="preserve">КАК ЭТО ЧИТАТЬ</t>
  </si>
  <si>
    <t xml:space="preserve">Поставщик за $45 с человека — это НЕ грабёж, как казалось раньше. В $45 у него сидят билеты и обед,</t>
  </si>
  <si>
    <t xml:space="preserve">а на маленькой группе он на тебе почти не зарабатывает: на двоих в Ubud Highlights он в минусе.</t>
  </si>
  <si>
    <t xml:space="preserve">Вывод: держи оба канала. Соло и пары — отдавай поставщику, там его цена лучше твоей себестоимости.</t>
  </si>
  <si>
    <t xml:space="preserve">Группы от 3 человек — вози своим водителем, там вся выгода. Не разрывай отношения с поставщиком,</t>
  </si>
  <si>
    <t xml:space="preserve">он твоя страховка на маленькие заказы и на дни, когда твой водитель занят.</t>
  </si>
  <si>
    <t xml:space="preserve">ОТКУДА ЦИФРЫ И ЧТО НАДО ПРОВЕРИТЬ САМОМУ</t>
  </si>
  <si>
    <t xml:space="preserve">Что</t>
  </si>
  <si>
    <t xml:space="preserve">Деталь</t>
  </si>
  <si>
    <t xml:space="preserve">Источник</t>
  </si>
  <si>
    <t xml:space="preserve">Маршруты туров (какие остановки)</t>
  </si>
  <si>
    <t xml:space="preserve">Твои же страницы туров, блок «Key stops» и «What's included»</t>
  </si>
  <si>
    <t xml:space="preserve">Файлы bali-tour-*.html на твоём маке, август 2026</t>
  </si>
  <si>
    <t xml:space="preserve">Входные билеты 2026</t>
  </si>
  <si>
    <t xml:space="preserve">Complete List of Bali Entrance Fees 2026</t>
  </si>
  <si>
    <t xml:space="preserve">baliholidaysecrets.com/bali-entrance-fees/</t>
  </si>
  <si>
    <t xml:space="preserve">Подорожание Танах Лот и Улун Дану</t>
  </si>
  <si>
    <t xml:space="preserve">Танах Лот 75k→100k с 01.04.2026; Улун Дану 75k→100k с 01.07.2026</t>
  </si>
  <si>
    <t xml:space="preserve">heybali.info — новость о повышении цен</t>
  </si>
  <si>
    <t xml:space="preserve">Лемпуянг: билет + обязательный шаттл</t>
  </si>
  <si>
    <t xml:space="preserve">100k билет + 50k шаттл, машину выше терминала не пускают</t>
  </si>
  <si>
    <t xml:space="preserve">baliholidaysecrets.com/lempuyang-temple/</t>
  </si>
  <si>
    <t xml:space="preserve">Gunung Kawi Sebatu — 50k, саронг включён</t>
  </si>
  <si>
    <t xml:space="preserve">Подтверждено</t>
  </si>
  <si>
    <t xml:space="preserve">baliholidaysecrets.com/pura-gunung-kawi-sebatu/</t>
  </si>
  <si>
    <t xml:space="preserve">Kintamani — 50k с иностранца</t>
  </si>
  <si>
    <t xml:space="preserve">Официальный сбор, домашним 25k</t>
  </si>
  <si>
    <t xml:space="preserve">thebalisun.com — разъяснение по сборам в Кинтамани</t>
  </si>
  <si>
    <t xml:space="preserve">Lahangan Sweet — 100k, шаттл включён</t>
  </si>
  <si>
    <t xml:space="preserve">Дороже, чем кажется: это не бесплатная смотровая</t>
  </si>
  <si>
    <t xml:space="preserve">lifetravelandasia.com/lahangan-sweet-guide/</t>
  </si>
  <si>
    <t xml:space="preserve">Лодка на дельфинов в Ловине</t>
  </si>
  <si>
    <t xml:space="preserve">Сборная 100k с человека; приватная 400k за лодку до 3 чел, +50k за человека</t>
  </si>
  <si>
    <t xml:space="preserve">lovinatours.com/lovina-dolphin-watching-tour/</t>
  </si>
  <si>
    <t xml:space="preserve">Обед-буфет в Кинтамани — 125k</t>
  </si>
  <si>
    <t xml:space="preserve">ОЦЕНКА, не подтверждено. Спроси у водителя реальную цену в его ресторане.</t>
  </si>
  <si>
    <t xml:space="preserve">допущение</t>
  </si>
  <si>
    <t xml:space="preserve">Качели Tegalalang — 250k</t>
  </si>
  <si>
    <t xml:space="preserve">Взята нижняя граница диапазона 250–400k. Если качели премиум — будет дороже.</t>
  </si>
  <si>
    <t xml:space="preserve">baliholidaysecrets.com</t>
  </si>
  <si>
    <t xml:space="preserve">Batukaru</t>
  </si>
  <si>
    <t xml:space="preserve">В маршрутах твоих туров не встретился — из расчёта убран.</t>
  </si>
  <si>
    <t xml:space="preserve">ПРОВЕРЬ ДО ПЕРВОЙ ПРОДАЖИ</t>
  </si>
  <si>
    <t xml:space="preserve">1. Входит ли в $36 бензин, парковки и еда водителя. Если нет — добавь ~50k IDR/день в «мелочь».</t>
  </si>
  <si>
    <t xml:space="preserve">2. Доплата за старт в 03:00–04:00 (Ловина, Батур). Её берут почти всегда.</t>
  </si>
  <si>
    <t xml:space="preserve">3. Ставка за час переработки. Сейчас в расчёте $5/час — подставь реальную.</t>
  </si>
  <si>
    <t xml:space="preserve">4. Реальная цена обеда в Кинтамани у твоего водителя — у них свои рестораны и своя цена.</t>
  </si>
  <si>
    <t xml:space="preserve">5. Какого класса качели включены в Ubud Instagram Tour. Разброс 250–400k, это $9 разницы с человека.</t>
  </si>
  <si>
    <t xml:space="preserve">6. Курс рупии. Пересчитывай раз в квартал — билеты в 2026 уже дорожали дважды.</t>
  </si>
</sst>
</file>

<file path=xl/styles.xml><?xml version="1.0" encoding="utf-8"?>
<styleSheet xmlns="http://schemas.openxmlformats.org/spreadsheetml/2006/main">
  <numFmts count="10">
    <numFmt numFmtId="164" formatCode="General"/>
    <numFmt numFmtId="165" formatCode="0"/>
    <numFmt numFmtId="166" formatCode="0.00"/>
    <numFmt numFmtId="167" formatCode="0.0"/>
    <numFmt numFmtId="168" formatCode="#,##0"/>
    <numFmt numFmtId="169" formatCode="\$#,##0.00;&quot;($&quot;#,##0.00\);\-"/>
    <numFmt numFmtId="170" formatCode="\$#,##0;&quot;($&quot;#,##0\);\-"/>
    <numFmt numFmtId="171" formatCode="0.0%;\(0.0%\);\-"/>
    <numFmt numFmtId="172" formatCode="\$#,##0"/>
    <numFmt numFmtId="173" formatCode="\$#,##0.00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FF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10"/>
      <color rgb="FF1F3864"/>
      <name val="Arial"/>
      <family val="0"/>
      <charset val="1"/>
    </font>
    <font>
      <b val="true"/>
      <sz val="12"/>
      <color rgb="FF1F3864"/>
      <name val="Arial"/>
      <family val="0"/>
      <charset val="1"/>
    </font>
    <font>
      <b val="true"/>
      <sz val="11"/>
      <color rgb="FFC00000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2CC"/>
        <bgColor rgb="FFFFE8D6"/>
      </patternFill>
    </fill>
    <fill>
      <patternFill patternType="solid">
        <fgColor rgb="FFFFE8D6"/>
        <bgColor rgb="FFFFF2CC"/>
      </patternFill>
    </fill>
    <fill>
      <patternFill patternType="solid">
        <fgColor rgb="FFF2F2F2"/>
        <bgColor rgb="FFE2EFDA"/>
      </patternFill>
    </fill>
    <fill>
      <patternFill patternType="solid">
        <fgColor rgb="FFE2EFDA"/>
        <bgColor rgb="FFF2F2F2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0" fillId="5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0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0" fillId="5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7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1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7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9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12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F2F2F2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E8D6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14"/>
    <col collapsed="false" customWidth="true" hidden="false" outlineLevel="0" max="3" min="3" style="0" width="66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</row>
    <row r="5" customFormat="false" ht="15" hidden="false" customHeight="false" outlineLevel="0" collapsed="false">
      <c r="A5" s="4" t="s">
        <v>5</v>
      </c>
      <c r="B5" s="5" t="n">
        <v>16000</v>
      </c>
      <c r="C5" s="6" t="s">
        <v>6</v>
      </c>
    </row>
    <row r="6" customFormat="false" ht="15" hidden="false" customHeight="false" outlineLevel="0" collapsed="false">
      <c r="A6" s="4" t="s">
        <v>7</v>
      </c>
      <c r="B6" s="7" t="n">
        <v>36</v>
      </c>
      <c r="C6" s="6" t="s">
        <v>8</v>
      </c>
    </row>
    <row r="7" customFormat="false" ht="15" hidden="false" customHeight="false" outlineLevel="0" collapsed="false">
      <c r="A7" s="4" t="s">
        <v>9</v>
      </c>
      <c r="B7" s="7" t="n">
        <v>5</v>
      </c>
      <c r="C7" s="6" t="s">
        <v>10</v>
      </c>
    </row>
    <row r="8" customFormat="false" ht="15" hidden="false" customHeight="false" outlineLevel="0" collapsed="false">
      <c r="A8" s="4" t="s">
        <v>11</v>
      </c>
      <c r="B8" s="7" t="n">
        <v>1.5</v>
      </c>
      <c r="C8" s="6" t="s">
        <v>12</v>
      </c>
    </row>
    <row r="9" customFormat="false" ht="15" hidden="false" customHeight="false" outlineLevel="0" collapsed="false">
      <c r="A9" s="4" t="s">
        <v>13</v>
      </c>
      <c r="B9" s="7" t="n">
        <v>1.6</v>
      </c>
      <c r="C9" s="6" t="s">
        <v>14</v>
      </c>
    </row>
    <row r="10" customFormat="false" ht="15" hidden="false" customHeight="false" outlineLevel="0" collapsed="false">
      <c r="A10" s="4" t="s">
        <v>15</v>
      </c>
      <c r="B10" s="8" t="n">
        <v>3</v>
      </c>
      <c r="C10" s="6" t="s">
        <v>16</v>
      </c>
    </row>
    <row r="12" customFormat="false" ht="17.35" hidden="false" customHeight="false" outlineLevel="0" collapsed="false">
      <c r="A12" s="1" t="s">
        <v>17</v>
      </c>
    </row>
    <row r="13" customFormat="false" ht="15" hidden="false" customHeight="false" outlineLevel="0" collapsed="false">
      <c r="A13" s="9" t="s">
        <v>18</v>
      </c>
    </row>
    <row r="14" customFormat="false" ht="15" hidden="false" customHeight="false" outlineLevel="0" collapsed="false">
      <c r="A14" s="9" t="s">
        <v>19</v>
      </c>
    </row>
    <row r="15" customFormat="false" ht="15" hidden="false" customHeight="false" outlineLevel="0" collapsed="false">
      <c r="A15" s="9" t="s">
        <v>20</v>
      </c>
    </row>
    <row r="16" customFormat="false" ht="15" hidden="false" customHeight="false" outlineLevel="0" collapsed="false">
      <c r="A16" s="9"/>
    </row>
    <row r="17" customFormat="false" ht="15" hidden="false" customHeight="false" outlineLevel="0" collapsed="false">
      <c r="A17" s="9" t="s">
        <v>21</v>
      </c>
    </row>
    <row r="18" customFormat="false" ht="15" hidden="false" customHeight="false" outlineLevel="0" collapsed="false">
      <c r="A18" s="9" t="s">
        <v>22</v>
      </c>
    </row>
    <row r="19" customFormat="false" ht="15" hidden="false" customHeight="false" outlineLevel="0" collapsed="false">
      <c r="A19" s="9"/>
    </row>
    <row r="20" customFormat="false" ht="15" hidden="false" customHeight="false" outlineLevel="0" collapsed="false">
      <c r="A20" s="9" t="s">
        <v>23</v>
      </c>
    </row>
    <row r="21" customFormat="false" ht="15" hidden="false" customHeight="false" outlineLevel="0" collapsed="false">
      <c r="A21" s="9" t="s">
        <v>24</v>
      </c>
    </row>
    <row r="22" customFormat="false" ht="15" hidden="false" customHeight="false" outlineLevel="0" collapsed="false">
      <c r="A22" s="9" t="s">
        <v>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5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44"/>
    <col collapsed="false" customWidth="true" hidden="false" outlineLevel="0" max="3" min="3" style="0" width="16"/>
    <col collapsed="false" customWidth="true" hidden="false" outlineLevel="0" max="4" min="4" style="0" width="14"/>
    <col collapsed="false" customWidth="true" hidden="false" outlineLevel="0" max="5" min="5" style="0" width="10"/>
  </cols>
  <sheetData>
    <row r="1" customFormat="false" ht="17.35" hidden="false" customHeight="false" outlineLevel="0" collapsed="false">
      <c r="A1" s="1" t="s">
        <v>26</v>
      </c>
    </row>
    <row r="2" customFormat="false" ht="15" hidden="false" customHeight="false" outlineLevel="0" collapsed="false">
      <c r="A2" s="2" t="s">
        <v>27</v>
      </c>
    </row>
    <row r="4" customFormat="false" ht="15" hidden="false" customHeight="false" outlineLevel="0" collapsed="false">
      <c r="A4" s="10" t="s">
        <v>28</v>
      </c>
      <c r="B4" s="10" t="s">
        <v>29</v>
      </c>
      <c r="C4" s="10" t="s">
        <v>30</v>
      </c>
      <c r="D4" s="10" t="s">
        <v>31</v>
      </c>
      <c r="E4" s="10" t="s">
        <v>32</v>
      </c>
    </row>
    <row r="5" customFormat="false" ht="15" hidden="false" customHeight="false" outlineLevel="0" collapsed="false">
      <c r="A5" s="6" t="s">
        <v>33</v>
      </c>
      <c r="B5" s="6" t="s">
        <v>34</v>
      </c>
      <c r="C5" s="11" t="n">
        <v>0</v>
      </c>
      <c r="D5" s="12" t="n">
        <f aca="false">C5/'1. Настройки'!$B$5</f>
        <v>0</v>
      </c>
      <c r="E5" s="13" t="s">
        <v>35</v>
      </c>
    </row>
    <row r="6" customFormat="false" ht="15" hidden="false" customHeight="false" outlineLevel="0" collapsed="false">
      <c r="A6" s="6" t="s">
        <v>33</v>
      </c>
      <c r="B6" s="6" t="s">
        <v>36</v>
      </c>
      <c r="C6" s="11" t="n">
        <v>50000</v>
      </c>
      <c r="D6" s="12" t="n">
        <f aca="false">C6/'1. Настройки'!$B$5</f>
        <v>3.125</v>
      </c>
      <c r="E6" s="13" t="s">
        <v>35</v>
      </c>
    </row>
    <row r="7" customFormat="false" ht="15" hidden="false" customHeight="false" outlineLevel="0" collapsed="false">
      <c r="A7" s="6" t="s">
        <v>33</v>
      </c>
      <c r="B7" s="6" t="s">
        <v>37</v>
      </c>
      <c r="C7" s="11" t="n">
        <v>50000</v>
      </c>
      <c r="D7" s="12" t="n">
        <f aca="false">C7/'1. Настройки'!$B$5</f>
        <v>3.125</v>
      </c>
      <c r="E7" s="13" t="s">
        <v>35</v>
      </c>
    </row>
    <row r="8" customFormat="false" ht="15" hidden="false" customHeight="false" outlineLevel="0" collapsed="false">
      <c r="A8" s="6" t="s">
        <v>33</v>
      </c>
      <c r="B8" s="6" t="s">
        <v>38</v>
      </c>
      <c r="C8" s="11" t="n">
        <v>50000</v>
      </c>
      <c r="D8" s="12" t="n">
        <f aca="false">C8/'1. Настройки'!$B$5</f>
        <v>3.125</v>
      </c>
      <c r="E8" s="13" t="s">
        <v>35</v>
      </c>
    </row>
    <row r="9" customFormat="false" ht="15" hidden="false" customHeight="false" outlineLevel="0" collapsed="false">
      <c r="A9" s="6" t="s">
        <v>33</v>
      </c>
      <c r="B9" s="6" t="s">
        <v>39</v>
      </c>
      <c r="C9" s="11" t="n">
        <v>50000</v>
      </c>
      <c r="D9" s="12" t="n">
        <f aca="false">C9/'1. Настройки'!$B$5</f>
        <v>3.125</v>
      </c>
      <c r="E9" s="13" t="s">
        <v>35</v>
      </c>
    </row>
    <row r="10" customFormat="false" ht="15" hidden="false" customHeight="false" outlineLevel="0" collapsed="false">
      <c r="A10" s="6" t="s">
        <v>33</v>
      </c>
      <c r="B10" s="6" t="s">
        <v>40</v>
      </c>
      <c r="C10" s="11" t="n">
        <v>20000</v>
      </c>
      <c r="D10" s="12" t="n">
        <f aca="false">C10/'1. Настройки'!$B$5</f>
        <v>1.25</v>
      </c>
      <c r="E10" s="13" t="s">
        <v>35</v>
      </c>
    </row>
    <row r="11" customFormat="false" ht="15" hidden="false" customHeight="false" outlineLevel="0" collapsed="false">
      <c r="A11" s="6" t="s">
        <v>33</v>
      </c>
      <c r="B11" s="6" t="s">
        <v>41</v>
      </c>
      <c r="C11" s="11" t="n">
        <v>0</v>
      </c>
      <c r="D11" s="12" t="n">
        <f aca="false">C11/'1. Настройки'!$B$5</f>
        <v>0</v>
      </c>
      <c r="E11" s="13" t="s">
        <v>35</v>
      </c>
    </row>
    <row r="12" customFormat="false" ht="15" hidden="false" customHeight="false" outlineLevel="0" collapsed="false">
      <c r="A12" s="6" t="s">
        <v>33</v>
      </c>
      <c r="B12" s="6" t="s">
        <v>42</v>
      </c>
      <c r="C12" s="11" t="n">
        <v>130000</v>
      </c>
      <c r="D12" s="12" t="n">
        <f aca="false">C12/'1. Настройки'!$B$5</f>
        <v>8.125</v>
      </c>
      <c r="E12" s="13" t="s">
        <v>35</v>
      </c>
    </row>
    <row r="13" customFormat="false" ht="15" hidden="false" customHeight="false" outlineLevel="0" collapsed="false">
      <c r="A13" s="6" t="s">
        <v>33</v>
      </c>
      <c r="B13" s="6" t="s">
        <v>43</v>
      </c>
      <c r="C13" s="11" t="n">
        <v>0</v>
      </c>
      <c r="D13" s="12" t="n">
        <f aca="false">C13/'1. Настройки'!$B$5</f>
        <v>0</v>
      </c>
      <c r="E13" s="13" t="s">
        <v>35</v>
      </c>
    </row>
    <row r="14" customFormat="false" ht="15" hidden="false" customHeight="false" outlineLevel="0" collapsed="false">
      <c r="A14" s="6" t="s">
        <v>33</v>
      </c>
      <c r="B14" s="6" t="s">
        <v>44</v>
      </c>
      <c r="C14" s="11" t="n">
        <v>20000</v>
      </c>
      <c r="D14" s="12" t="n">
        <f aca="false">C14/'1. Настройки'!$B$5</f>
        <v>1.25</v>
      </c>
      <c r="E14" s="13" t="s">
        <v>35</v>
      </c>
    </row>
    <row r="15" customFormat="false" ht="15" hidden="false" customHeight="false" outlineLevel="0" collapsed="false">
      <c r="A15" s="14" t="s">
        <v>33</v>
      </c>
      <c r="B15" s="14" t="s">
        <v>45</v>
      </c>
      <c r="C15" s="15" t="n">
        <v>125000</v>
      </c>
      <c r="D15" s="16" t="n">
        <f aca="false">C15/'1. Настройки'!$B$5</f>
        <v>7.8125</v>
      </c>
      <c r="E15" s="17" t="s">
        <v>46</v>
      </c>
    </row>
    <row r="16" customFormat="false" ht="15" hidden="false" customHeight="false" outlineLevel="0" collapsed="false">
      <c r="A16" s="6" t="s">
        <v>47</v>
      </c>
      <c r="B16" s="6" t="s">
        <v>48</v>
      </c>
      <c r="C16" s="11" t="n">
        <v>100000</v>
      </c>
      <c r="D16" s="12" t="n">
        <f aca="false">C16/'1. Настройки'!$B$5</f>
        <v>6.25</v>
      </c>
      <c r="E16" s="13" t="s">
        <v>35</v>
      </c>
    </row>
    <row r="17" customFormat="false" ht="15" hidden="false" customHeight="false" outlineLevel="0" collapsed="false">
      <c r="A17" s="6" t="s">
        <v>47</v>
      </c>
      <c r="B17" s="6" t="s">
        <v>49</v>
      </c>
      <c r="C17" s="11" t="n">
        <v>50000</v>
      </c>
      <c r="D17" s="12" t="n">
        <f aca="false">C17/'1. Настройки'!$B$5</f>
        <v>3.125</v>
      </c>
      <c r="E17" s="13" t="s">
        <v>35</v>
      </c>
    </row>
    <row r="18" customFormat="false" ht="15" hidden="false" customHeight="false" outlineLevel="0" collapsed="false">
      <c r="A18" s="6" t="s">
        <v>47</v>
      </c>
      <c r="B18" s="6" t="s">
        <v>50</v>
      </c>
      <c r="C18" s="11" t="n">
        <v>90000</v>
      </c>
      <c r="D18" s="12" t="n">
        <f aca="false">C18/'1. Настройки'!$B$5</f>
        <v>5.625</v>
      </c>
      <c r="E18" s="13" t="s">
        <v>35</v>
      </c>
    </row>
    <row r="19" customFormat="false" ht="15" hidden="false" customHeight="false" outlineLevel="0" collapsed="false">
      <c r="A19" s="6" t="s">
        <v>47</v>
      </c>
      <c r="B19" s="6" t="s">
        <v>51</v>
      </c>
      <c r="C19" s="11" t="n">
        <v>35000</v>
      </c>
      <c r="D19" s="12" t="n">
        <f aca="false">C19/'1. Настройки'!$B$5</f>
        <v>2.1875</v>
      </c>
      <c r="E19" s="13" t="s">
        <v>35</v>
      </c>
    </row>
    <row r="20" customFormat="false" ht="15" hidden="false" customHeight="false" outlineLevel="0" collapsed="false">
      <c r="A20" s="6" t="s">
        <v>47</v>
      </c>
      <c r="B20" s="6" t="s">
        <v>40</v>
      </c>
      <c r="C20" s="11" t="n">
        <v>20000</v>
      </c>
      <c r="D20" s="12" t="n">
        <f aca="false">C20/'1. Настройки'!$B$5</f>
        <v>1.25</v>
      </c>
      <c r="E20" s="13" t="s">
        <v>35</v>
      </c>
    </row>
    <row r="21" customFormat="false" ht="15" hidden="false" customHeight="false" outlineLevel="0" collapsed="false">
      <c r="A21" s="6" t="s">
        <v>47</v>
      </c>
      <c r="B21" s="6" t="s">
        <v>44</v>
      </c>
      <c r="C21" s="11" t="n">
        <v>20000</v>
      </c>
      <c r="D21" s="12" t="n">
        <f aca="false">C21/'1. Настройки'!$B$5</f>
        <v>1.25</v>
      </c>
      <c r="E21" s="13" t="s">
        <v>35</v>
      </c>
    </row>
    <row r="22" customFormat="false" ht="15" hidden="false" customHeight="false" outlineLevel="0" collapsed="false">
      <c r="A22" s="14" t="s">
        <v>47</v>
      </c>
      <c r="B22" s="14" t="s">
        <v>52</v>
      </c>
      <c r="C22" s="15" t="n">
        <v>250000</v>
      </c>
      <c r="D22" s="16" t="n">
        <f aca="false">C22/'1. Настройки'!$B$5</f>
        <v>15.625</v>
      </c>
      <c r="E22" s="17" t="s">
        <v>46</v>
      </c>
    </row>
    <row r="23" customFormat="false" ht="15" hidden="false" customHeight="false" outlineLevel="0" collapsed="false">
      <c r="A23" s="14" t="s">
        <v>47</v>
      </c>
      <c r="B23" s="14" t="s">
        <v>53</v>
      </c>
      <c r="C23" s="15" t="n">
        <v>100000</v>
      </c>
      <c r="D23" s="16" t="n">
        <f aca="false">C23/'1. Настройки'!$B$5</f>
        <v>6.25</v>
      </c>
      <c r="E23" s="17" t="s">
        <v>46</v>
      </c>
    </row>
    <row r="24" customFormat="false" ht="15" hidden="false" customHeight="false" outlineLevel="0" collapsed="false">
      <c r="A24" s="6" t="s">
        <v>54</v>
      </c>
      <c r="B24" s="6" t="s">
        <v>55</v>
      </c>
      <c r="C24" s="11" t="n">
        <v>50000</v>
      </c>
      <c r="D24" s="12" t="n">
        <f aca="false">C24/'1. Настройки'!$B$5</f>
        <v>3.125</v>
      </c>
      <c r="E24" s="13" t="s">
        <v>35</v>
      </c>
    </row>
    <row r="25" customFormat="false" ht="15" hidden="false" customHeight="false" outlineLevel="0" collapsed="false">
      <c r="A25" s="6" t="s">
        <v>54</v>
      </c>
      <c r="B25" s="6" t="s">
        <v>56</v>
      </c>
      <c r="C25" s="11" t="n">
        <v>100000</v>
      </c>
      <c r="D25" s="12" t="n">
        <f aca="false">C25/'1. Настройки'!$B$5</f>
        <v>6.25</v>
      </c>
      <c r="E25" s="13" t="s">
        <v>35</v>
      </c>
    </row>
    <row r="26" customFormat="false" ht="15" hidden="false" customHeight="false" outlineLevel="0" collapsed="false">
      <c r="A26" s="6" t="s">
        <v>54</v>
      </c>
      <c r="B26" s="6" t="s">
        <v>57</v>
      </c>
      <c r="C26" s="11" t="n">
        <v>100000</v>
      </c>
      <c r="D26" s="12" t="n">
        <f aca="false">C26/'1. Настройки'!$B$5</f>
        <v>6.25</v>
      </c>
      <c r="E26" s="13" t="s">
        <v>35</v>
      </c>
    </row>
    <row r="27" customFormat="false" ht="15" hidden="false" customHeight="false" outlineLevel="0" collapsed="false">
      <c r="A27" s="6" t="s">
        <v>54</v>
      </c>
      <c r="B27" s="6" t="s">
        <v>58</v>
      </c>
      <c r="C27" s="11" t="n">
        <v>100000</v>
      </c>
      <c r="D27" s="12" t="n">
        <f aca="false">C27/'1. Настройки'!$B$5</f>
        <v>6.25</v>
      </c>
      <c r="E27" s="13" t="s">
        <v>35</v>
      </c>
    </row>
    <row r="28" customFormat="false" ht="15" hidden="false" customHeight="false" outlineLevel="0" collapsed="false">
      <c r="A28" s="6" t="s">
        <v>54</v>
      </c>
      <c r="B28" s="6" t="s">
        <v>44</v>
      </c>
      <c r="C28" s="11" t="n">
        <v>20000</v>
      </c>
      <c r="D28" s="12" t="n">
        <f aca="false">C28/'1. Настройки'!$B$5</f>
        <v>1.25</v>
      </c>
      <c r="E28" s="13" t="s">
        <v>35</v>
      </c>
    </row>
    <row r="29" customFormat="false" ht="15" hidden="false" customHeight="false" outlineLevel="0" collapsed="false">
      <c r="A29" s="6" t="s">
        <v>59</v>
      </c>
      <c r="B29" s="6" t="s">
        <v>56</v>
      </c>
      <c r="C29" s="11" t="n">
        <v>100000</v>
      </c>
      <c r="D29" s="12" t="n">
        <f aca="false">C29/'1. Настройки'!$B$5</f>
        <v>6.25</v>
      </c>
      <c r="E29" s="13" t="s">
        <v>35</v>
      </c>
    </row>
    <row r="30" customFormat="false" ht="15" hidden="false" customHeight="false" outlineLevel="0" collapsed="false">
      <c r="A30" s="6" t="s">
        <v>59</v>
      </c>
      <c r="B30" s="6" t="s">
        <v>60</v>
      </c>
      <c r="C30" s="11" t="n">
        <v>50000</v>
      </c>
      <c r="D30" s="12" t="n">
        <f aca="false">C30/'1. Настройки'!$B$5</f>
        <v>3.125</v>
      </c>
      <c r="E30" s="13" t="s">
        <v>35</v>
      </c>
    </row>
    <row r="31" customFormat="false" ht="15" hidden="false" customHeight="false" outlineLevel="0" collapsed="false">
      <c r="A31" s="6" t="s">
        <v>59</v>
      </c>
      <c r="B31" s="6" t="s">
        <v>61</v>
      </c>
      <c r="C31" s="11" t="n">
        <v>10000</v>
      </c>
      <c r="D31" s="12" t="n">
        <f aca="false">C31/'1. Настройки'!$B$5</f>
        <v>0.625</v>
      </c>
      <c r="E31" s="13" t="s">
        <v>35</v>
      </c>
    </row>
    <row r="32" customFormat="false" ht="15" hidden="false" customHeight="false" outlineLevel="0" collapsed="false">
      <c r="A32" s="6" t="s">
        <v>59</v>
      </c>
      <c r="B32" s="6" t="s">
        <v>57</v>
      </c>
      <c r="C32" s="11" t="n">
        <v>100000</v>
      </c>
      <c r="D32" s="12" t="n">
        <f aca="false">C32/'1. Настройки'!$B$5</f>
        <v>6.25</v>
      </c>
      <c r="E32" s="13" t="s">
        <v>35</v>
      </c>
    </row>
    <row r="33" customFormat="false" ht="15" hidden="false" customHeight="false" outlineLevel="0" collapsed="false">
      <c r="A33" s="6" t="s">
        <v>59</v>
      </c>
      <c r="B33" s="6" t="s">
        <v>58</v>
      </c>
      <c r="C33" s="11" t="n">
        <v>100000</v>
      </c>
      <c r="D33" s="12" t="n">
        <f aca="false">C33/'1. Настройки'!$B$5</f>
        <v>6.25</v>
      </c>
      <c r="E33" s="13" t="s">
        <v>35</v>
      </c>
    </row>
    <row r="34" customFormat="false" ht="15" hidden="false" customHeight="false" outlineLevel="0" collapsed="false">
      <c r="A34" s="6" t="s">
        <v>59</v>
      </c>
      <c r="B34" s="6" t="s">
        <v>44</v>
      </c>
      <c r="C34" s="11" t="n">
        <v>20000</v>
      </c>
      <c r="D34" s="12" t="n">
        <f aca="false">C34/'1. Настройки'!$B$5</f>
        <v>1.25</v>
      </c>
      <c r="E34" s="13" t="s">
        <v>35</v>
      </c>
    </row>
    <row r="35" customFormat="false" ht="15" hidden="false" customHeight="false" outlineLevel="0" collapsed="false">
      <c r="A35" s="6" t="s">
        <v>62</v>
      </c>
      <c r="B35" s="6" t="s">
        <v>48</v>
      </c>
      <c r="C35" s="11" t="n">
        <v>100000</v>
      </c>
      <c r="D35" s="12" t="n">
        <f aca="false">C35/'1. Настройки'!$B$5</f>
        <v>6.25</v>
      </c>
      <c r="E35" s="13" t="s">
        <v>35</v>
      </c>
    </row>
    <row r="36" customFormat="false" ht="15" hidden="false" customHeight="false" outlineLevel="0" collapsed="false">
      <c r="A36" s="6" t="s">
        <v>62</v>
      </c>
      <c r="B36" s="6" t="s">
        <v>49</v>
      </c>
      <c r="C36" s="11" t="n">
        <v>50000</v>
      </c>
      <c r="D36" s="12" t="n">
        <f aca="false">C36/'1. Настройки'!$B$5</f>
        <v>3.125</v>
      </c>
      <c r="E36" s="13" t="s">
        <v>35</v>
      </c>
    </row>
    <row r="37" customFormat="false" ht="15" hidden="false" customHeight="false" outlineLevel="0" collapsed="false">
      <c r="A37" s="6" t="s">
        <v>62</v>
      </c>
      <c r="B37" s="6" t="s">
        <v>50</v>
      </c>
      <c r="C37" s="11" t="n">
        <v>90000</v>
      </c>
      <c r="D37" s="12" t="n">
        <f aca="false">C37/'1. Настройки'!$B$5</f>
        <v>5.625</v>
      </c>
      <c r="E37" s="13" t="s">
        <v>35</v>
      </c>
    </row>
    <row r="38" customFormat="false" ht="15" hidden="false" customHeight="false" outlineLevel="0" collapsed="false">
      <c r="A38" s="6" t="s">
        <v>62</v>
      </c>
      <c r="B38" s="6" t="s">
        <v>63</v>
      </c>
      <c r="C38" s="11" t="n">
        <v>75000</v>
      </c>
      <c r="D38" s="12" t="n">
        <f aca="false">C38/'1. Настройки'!$B$5</f>
        <v>4.6875</v>
      </c>
      <c r="E38" s="13" t="s">
        <v>35</v>
      </c>
    </row>
    <row r="39" customFormat="false" ht="15" hidden="false" customHeight="false" outlineLevel="0" collapsed="false">
      <c r="A39" s="6" t="s">
        <v>62</v>
      </c>
      <c r="B39" s="6" t="s">
        <v>64</v>
      </c>
      <c r="C39" s="11" t="n">
        <v>100000</v>
      </c>
      <c r="D39" s="12" t="n">
        <f aca="false">C39/'1. Настройки'!$B$5</f>
        <v>6.25</v>
      </c>
      <c r="E39" s="13" t="s">
        <v>35</v>
      </c>
    </row>
    <row r="40" customFormat="false" ht="15" hidden="false" customHeight="false" outlineLevel="0" collapsed="false">
      <c r="A40" s="6" t="s">
        <v>62</v>
      </c>
      <c r="B40" s="6" t="s">
        <v>44</v>
      </c>
      <c r="C40" s="11" t="n">
        <v>20000</v>
      </c>
      <c r="D40" s="12" t="n">
        <f aca="false">C40/'1. Настройки'!$B$5</f>
        <v>1.25</v>
      </c>
      <c r="E40" s="13" t="s">
        <v>35</v>
      </c>
    </row>
    <row r="41" customFormat="false" ht="15" hidden="false" customHeight="false" outlineLevel="0" collapsed="false">
      <c r="A41" s="6" t="s">
        <v>65</v>
      </c>
      <c r="B41" s="6" t="s">
        <v>60</v>
      </c>
      <c r="C41" s="11" t="n">
        <v>50000</v>
      </c>
      <c r="D41" s="12" t="n">
        <f aca="false">C41/'1. Настройки'!$B$5</f>
        <v>3.125</v>
      </c>
      <c r="E41" s="13" t="s">
        <v>35</v>
      </c>
    </row>
    <row r="42" customFormat="false" ht="15" hidden="false" customHeight="false" outlineLevel="0" collapsed="false">
      <c r="A42" s="6" t="s">
        <v>65</v>
      </c>
      <c r="B42" s="6" t="s">
        <v>66</v>
      </c>
      <c r="C42" s="11" t="n">
        <v>100000</v>
      </c>
      <c r="D42" s="12" t="n">
        <f aca="false">C42/'1. Настройки'!$B$5</f>
        <v>6.25</v>
      </c>
      <c r="E42" s="13" t="s">
        <v>35</v>
      </c>
    </row>
    <row r="43" customFormat="false" ht="15" hidden="false" customHeight="false" outlineLevel="0" collapsed="false">
      <c r="A43" s="6" t="s">
        <v>65</v>
      </c>
      <c r="B43" s="6" t="s">
        <v>48</v>
      </c>
      <c r="C43" s="11" t="n">
        <v>100000</v>
      </c>
      <c r="D43" s="12" t="n">
        <f aca="false">C43/'1. Настройки'!$B$5</f>
        <v>6.25</v>
      </c>
      <c r="E43" s="13" t="s">
        <v>35</v>
      </c>
    </row>
    <row r="44" customFormat="false" ht="15" hidden="false" customHeight="false" outlineLevel="0" collapsed="false">
      <c r="A44" s="6" t="s">
        <v>65</v>
      </c>
      <c r="B44" s="6" t="s">
        <v>49</v>
      </c>
      <c r="C44" s="11" t="n">
        <v>50000</v>
      </c>
      <c r="D44" s="12" t="n">
        <f aca="false">C44/'1. Настройки'!$B$5</f>
        <v>3.125</v>
      </c>
      <c r="E44" s="13" t="s">
        <v>35</v>
      </c>
    </row>
    <row r="45" customFormat="false" ht="15" hidden="false" customHeight="false" outlineLevel="0" collapsed="false">
      <c r="A45" s="6" t="s">
        <v>65</v>
      </c>
      <c r="B45" s="6" t="s">
        <v>50</v>
      </c>
      <c r="C45" s="11" t="n">
        <v>90000</v>
      </c>
      <c r="D45" s="12" t="n">
        <f aca="false">C45/'1. Настройки'!$B$5</f>
        <v>5.625</v>
      </c>
      <c r="E45" s="13" t="s">
        <v>35</v>
      </c>
    </row>
    <row r="46" customFormat="false" ht="15" hidden="false" customHeight="false" outlineLevel="0" collapsed="false">
      <c r="A46" s="6" t="s">
        <v>65</v>
      </c>
      <c r="B46" s="6" t="s">
        <v>44</v>
      </c>
      <c r="C46" s="11" t="n">
        <v>25000</v>
      </c>
      <c r="D46" s="12" t="n">
        <f aca="false">C46/'1. Настройки'!$B$5</f>
        <v>1.5625</v>
      </c>
      <c r="E46" s="13" t="s">
        <v>35</v>
      </c>
    </row>
    <row r="47" customFormat="false" ht="15" hidden="false" customHeight="false" outlineLevel="0" collapsed="false">
      <c r="A47" s="6" t="s">
        <v>67</v>
      </c>
      <c r="B47" s="6" t="s">
        <v>68</v>
      </c>
      <c r="C47" s="11" t="n">
        <v>20000</v>
      </c>
      <c r="D47" s="12" t="n">
        <f aca="false">C47/'1. Настройки'!$B$5</f>
        <v>1.25</v>
      </c>
      <c r="E47" s="13" t="s">
        <v>35</v>
      </c>
    </row>
    <row r="48" customFormat="false" ht="15" hidden="false" customHeight="false" outlineLevel="0" collapsed="false">
      <c r="A48" s="6" t="s">
        <v>67</v>
      </c>
      <c r="B48" s="6" t="s">
        <v>69</v>
      </c>
      <c r="C48" s="11" t="n">
        <v>30000</v>
      </c>
      <c r="D48" s="12" t="n">
        <f aca="false">C48/'1. Настройки'!$B$5</f>
        <v>1.875</v>
      </c>
      <c r="E48" s="13" t="s">
        <v>35</v>
      </c>
    </row>
    <row r="49" customFormat="false" ht="15" hidden="false" customHeight="false" outlineLevel="0" collapsed="false">
      <c r="A49" s="6" t="s">
        <v>67</v>
      </c>
      <c r="B49" s="6" t="s">
        <v>60</v>
      </c>
      <c r="C49" s="11" t="n">
        <v>50000</v>
      </c>
      <c r="D49" s="12" t="n">
        <f aca="false">C49/'1. Настройки'!$B$5</f>
        <v>3.125</v>
      </c>
      <c r="E49" s="13" t="s">
        <v>35</v>
      </c>
    </row>
    <row r="50" customFormat="false" ht="15" hidden="false" customHeight="false" outlineLevel="0" collapsed="false">
      <c r="A50" s="6" t="s">
        <v>67</v>
      </c>
      <c r="B50" s="6" t="s">
        <v>44</v>
      </c>
      <c r="C50" s="11" t="n">
        <v>20000</v>
      </c>
      <c r="D50" s="12" t="n">
        <f aca="false">C50/'1. Настройки'!$B$5</f>
        <v>1.25</v>
      </c>
      <c r="E50" s="13" t="s">
        <v>35</v>
      </c>
    </row>
    <row r="51" customFormat="false" ht="15" hidden="false" customHeight="false" outlineLevel="0" collapsed="false">
      <c r="A51" s="14" t="s">
        <v>67</v>
      </c>
      <c r="B51" s="14" t="s">
        <v>70</v>
      </c>
      <c r="C51" s="15" t="n">
        <v>100000</v>
      </c>
      <c r="D51" s="16" t="n">
        <f aca="false">C51/'1. Настройки'!$B$5</f>
        <v>6.25</v>
      </c>
      <c r="E51" s="17" t="s">
        <v>46</v>
      </c>
    </row>
    <row r="52" customFormat="false" ht="15" hidden="false" customHeight="false" outlineLevel="0" collapsed="false">
      <c r="A52" s="6" t="s">
        <v>71</v>
      </c>
      <c r="B52" s="6" t="s">
        <v>68</v>
      </c>
      <c r="C52" s="11" t="n">
        <v>20000</v>
      </c>
      <c r="D52" s="12" t="n">
        <f aca="false">C52/'1. Настройки'!$B$5</f>
        <v>1.25</v>
      </c>
      <c r="E52" s="13" t="s">
        <v>35</v>
      </c>
    </row>
    <row r="53" customFormat="false" ht="15" hidden="false" customHeight="false" outlineLevel="0" collapsed="false">
      <c r="A53" s="6" t="s">
        <v>71</v>
      </c>
      <c r="B53" s="6" t="s">
        <v>66</v>
      </c>
      <c r="C53" s="11" t="n">
        <v>100000</v>
      </c>
      <c r="D53" s="12" t="n">
        <f aca="false">C53/'1. Настройки'!$B$5</f>
        <v>6.25</v>
      </c>
      <c r="E53" s="13" t="s">
        <v>35</v>
      </c>
    </row>
    <row r="54" customFormat="false" ht="15" hidden="false" customHeight="false" outlineLevel="0" collapsed="false">
      <c r="A54" s="6" t="s">
        <v>71</v>
      </c>
      <c r="B54" s="6" t="s">
        <v>44</v>
      </c>
      <c r="C54" s="11" t="n">
        <v>20000</v>
      </c>
      <c r="D54" s="12" t="n">
        <f aca="false">C54/'1. Настройки'!$B$5</f>
        <v>1.25</v>
      </c>
      <c r="E54" s="13" t="s">
        <v>35</v>
      </c>
    </row>
    <row r="55" customFormat="false" ht="15" hidden="false" customHeight="false" outlineLevel="0" collapsed="false">
      <c r="A55" s="14" t="s">
        <v>71</v>
      </c>
      <c r="B55" s="14" t="s">
        <v>70</v>
      </c>
      <c r="C55" s="15" t="n">
        <v>100000</v>
      </c>
      <c r="D55" s="16" t="n">
        <f aca="false">C55/'1. Настройки'!$B$5</f>
        <v>6.25</v>
      </c>
      <c r="E55" s="17" t="s">
        <v>46</v>
      </c>
    </row>
    <row r="56" customFormat="false" ht="15" hidden="false" customHeight="false" outlineLevel="0" collapsed="false">
      <c r="A56" s="6" t="s">
        <v>72</v>
      </c>
      <c r="B56" s="6" t="s">
        <v>73</v>
      </c>
      <c r="C56" s="11" t="n">
        <v>0</v>
      </c>
      <c r="D56" s="12" t="n">
        <f aca="false">C56/'1. Настройки'!$B$5</f>
        <v>0</v>
      </c>
      <c r="E56" s="13" t="s">
        <v>35</v>
      </c>
    </row>
    <row r="58" customFormat="false" ht="15" hidden="false" customHeight="false" outlineLevel="0" collapsed="false">
      <c r="A58" s="2" t="s">
        <v>74</v>
      </c>
    </row>
    <row r="59" customFormat="false" ht="15" hidden="false" customHeight="false" outlineLevel="0" collapsed="false">
      <c r="A59" s="2" t="s">
        <v>75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9"/>
    <col collapsed="false" customWidth="true" hidden="false" outlineLevel="0" max="4" min="3" style="0" width="11"/>
    <col collapsed="false" customWidth="true" hidden="false" outlineLevel="0" max="5" min="5" style="0" width="13"/>
    <col collapsed="false" customWidth="true" hidden="false" outlineLevel="0" max="6" min="6" style="0" width="9"/>
    <col collapsed="false" customWidth="true" hidden="false" outlineLevel="0" max="7" min="7" style="0" width="15"/>
    <col collapsed="false" customWidth="true" hidden="false" outlineLevel="0" max="9" min="8" style="0" width="14"/>
    <col collapsed="false" customWidth="true" hidden="false" outlineLevel="0" max="10" min="10" style="0" width="11"/>
    <col collapsed="false" customWidth="true" hidden="false" outlineLevel="0" max="11" min="11" style="0" width="12"/>
    <col collapsed="false" customWidth="true" hidden="false" outlineLevel="0" max="12" min="12" style="0" width="9"/>
  </cols>
  <sheetData>
    <row r="1" customFormat="false" ht="17.35" hidden="false" customHeight="false" outlineLevel="0" collapsed="false">
      <c r="A1" s="1" t="s">
        <v>76</v>
      </c>
    </row>
    <row r="2" customFormat="false" ht="15" hidden="false" customHeight="false" outlineLevel="0" collapsed="false">
      <c r="A2" s="2" t="s">
        <v>77</v>
      </c>
    </row>
    <row r="4" customFormat="false" ht="43.5" hidden="false" customHeight="true" outlineLevel="0" collapsed="false">
      <c r="A4" s="10" t="s">
        <v>28</v>
      </c>
      <c r="B4" s="10" t="s">
        <v>78</v>
      </c>
      <c r="C4" s="10" t="s">
        <v>79</v>
      </c>
      <c r="D4" s="10" t="s">
        <v>80</v>
      </c>
      <c r="E4" s="10" t="s">
        <v>81</v>
      </c>
      <c r="F4" s="10" t="s">
        <v>82</v>
      </c>
      <c r="G4" s="10" t="s">
        <v>83</v>
      </c>
      <c r="H4" s="10" t="s">
        <v>84</v>
      </c>
      <c r="I4" s="10" t="s">
        <v>85</v>
      </c>
      <c r="J4" s="10" t="s">
        <v>86</v>
      </c>
      <c r="K4" s="10" t="s">
        <v>87</v>
      </c>
      <c r="L4" s="10" t="s">
        <v>88</v>
      </c>
    </row>
    <row r="5" customFormat="false" ht="15" hidden="false" customHeight="false" outlineLevel="0" collapsed="false">
      <c r="A5" s="18" t="s">
        <v>33</v>
      </c>
      <c r="B5" s="19" t="n">
        <v>1</v>
      </c>
      <c r="C5" s="20" t="n">
        <f aca="false">('1. Настройки'!$B$6+0*'1. Настройки'!$B$7)/B5</f>
        <v>36</v>
      </c>
      <c r="D5" s="20" t="n">
        <f aca="false">SUMIFS('2. Билеты по остановкам'!$D$5:$D$56,'2. Билеты по остановкам'!$A$5:$A$56,$A$5,'2. Билеты по остановкам'!$E$5:$E$56,"билет")</f>
        <v>23.125</v>
      </c>
      <c r="E5" s="20" t="n">
        <f aca="false">SUMIFS('2. Билеты по остановкам'!$D$5:$D$56,'2. Билеты по остановкам'!$A$5:$A$56,$A$5,'2. Билеты по остановкам'!$E$5:$E$56,"доп")</f>
        <v>7.8125</v>
      </c>
      <c r="F5" s="20" t="n">
        <f aca="false">'1. Настройки'!$B$8</f>
        <v>1.5</v>
      </c>
      <c r="G5" s="20" t="n">
        <f aca="false">(C5+D5+E5+F5)*(1+'1. Настройки'!$B$10/100)</f>
        <v>70.490625</v>
      </c>
      <c r="H5" s="20" t="n">
        <f aca="false">G5*B5</f>
        <v>70.490625</v>
      </c>
      <c r="I5" s="21" t="n">
        <f aca="false">CEILING(G5*'1. Настройки'!$B$9+1,5)-1</f>
        <v>114</v>
      </c>
      <c r="J5" s="20" t="n">
        <f aca="false">I5-G5</f>
        <v>43.509375</v>
      </c>
      <c r="K5" s="20" t="n">
        <f aca="false">J5*B5</f>
        <v>43.509375</v>
      </c>
      <c r="L5" s="22" t="n">
        <f aca="false">IFERROR(J5/I5,0)</f>
        <v>0.381661184210526</v>
      </c>
    </row>
    <row r="6" customFormat="false" ht="15" hidden="false" customHeight="false" outlineLevel="0" collapsed="false">
      <c r="A6" s="6"/>
      <c r="B6" s="13" t="n">
        <v>2</v>
      </c>
      <c r="C6" s="23" t="n">
        <f aca="false">('1. Настройки'!$B$6+0*'1. Настройки'!$B$7)/B6</f>
        <v>18</v>
      </c>
      <c r="D6" s="23" t="n">
        <f aca="false">SUMIFS('2. Билеты по остановкам'!$D$5:$D$56,'2. Билеты по остановкам'!$A$5:$A$56,$A$5,'2. Билеты по остановкам'!$E$5:$E$56,"билет")</f>
        <v>23.125</v>
      </c>
      <c r="E6" s="23" t="n">
        <f aca="false">SUMIFS('2. Билеты по остановкам'!$D$5:$D$56,'2. Билеты по остановкам'!$A$5:$A$56,$A$5,'2. Билеты по остановкам'!$E$5:$E$56,"доп")</f>
        <v>7.8125</v>
      </c>
      <c r="F6" s="23" t="n">
        <f aca="false">'1. Настройки'!$B$8</f>
        <v>1.5</v>
      </c>
      <c r="G6" s="23" t="n">
        <f aca="false">(C6+D6+E6+F6)*(1+'1. Настройки'!$B$10/100)</f>
        <v>51.950625</v>
      </c>
      <c r="H6" s="23" t="n">
        <f aca="false">G6*B6</f>
        <v>103.90125</v>
      </c>
      <c r="I6" s="24" t="n">
        <f aca="false">CEILING(G6*'1. Настройки'!$B$9+1,5)-1</f>
        <v>84</v>
      </c>
      <c r="J6" s="23" t="n">
        <f aca="false">I6-G6</f>
        <v>32.049375</v>
      </c>
      <c r="K6" s="23" t="n">
        <f aca="false">J6*B6</f>
        <v>64.09875</v>
      </c>
      <c r="L6" s="25" t="n">
        <f aca="false">IFERROR(J6/I6,0)</f>
        <v>0.381540178571429</v>
      </c>
    </row>
    <row r="7" customFormat="false" ht="15" hidden="false" customHeight="false" outlineLevel="0" collapsed="false">
      <c r="A7" s="6"/>
      <c r="B7" s="13" t="n">
        <v>3</v>
      </c>
      <c r="C7" s="23" t="n">
        <f aca="false">('1. Настройки'!$B$6+0*'1. Настройки'!$B$7)/B7</f>
        <v>12</v>
      </c>
      <c r="D7" s="23" t="n">
        <f aca="false">SUMIFS('2. Билеты по остановкам'!$D$5:$D$56,'2. Билеты по остановкам'!$A$5:$A$56,$A$5,'2. Билеты по остановкам'!$E$5:$E$56,"билет")</f>
        <v>23.125</v>
      </c>
      <c r="E7" s="23" t="n">
        <f aca="false">SUMIFS('2. Билеты по остановкам'!$D$5:$D$56,'2. Билеты по остановкам'!$A$5:$A$56,$A$5,'2. Билеты по остановкам'!$E$5:$E$56,"доп")</f>
        <v>7.8125</v>
      </c>
      <c r="F7" s="23" t="n">
        <f aca="false">'1. Настройки'!$B$8</f>
        <v>1.5</v>
      </c>
      <c r="G7" s="23" t="n">
        <f aca="false">(C7+D7+E7+F7)*(1+'1. Настройки'!$B$10/100)</f>
        <v>45.770625</v>
      </c>
      <c r="H7" s="23" t="n">
        <f aca="false">G7*B7</f>
        <v>137.311875</v>
      </c>
      <c r="I7" s="24" t="n">
        <f aca="false">CEILING(G7*'1. Настройки'!$B$9+1,5)-1</f>
        <v>74</v>
      </c>
      <c r="J7" s="23" t="n">
        <f aca="false">I7-G7</f>
        <v>28.229375</v>
      </c>
      <c r="K7" s="23" t="n">
        <f aca="false">J7*B7</f>
        <v>84.688125</v>
      </c>
      <c r="L7" s="25" t="n">
        <f aca="false">IFERROR(J7/I7,0)</f>
        <v>0.381478040540541</v>
      </c>
    </row>
    <row r="8" customFormat="false" ht="15" hidden="false" customHeight="false" outlineLevel="0" collapsed="false">
      <c r="A8" s="26"/>
      <c r="B8" s="27" t="n">
        <v>4</v>
      </c>
      <c r="C8" s="28" t="n">
        <f aca="false">('1. Настройки'!$B$6+0*'1. Настройки'!$B$7)/B8</f>
        <v>9</v>
      </c>
      <c r="D8" s="28" t="n">
        <f aca="false">SUMIFS('2. Билеты по остановкам'!$D$5:$D$56,'2. Билеты по остановкам'!$A$5:$A$56,$A$5,'2. Билеты по остановкам'!$E$5:$E$56,"билет")</f>
        <v>23.125</v>
      </c>
      <c r="E8" s="28" t="n">
        <f aca="false">SUMIFS('2. Билеты по остановкам'!$D$5:$D$56,'2. Билеты по остановкам'!$A$5:$A$56,$A$5,'2. Билеты по остановкам'!$E$5:$E$56,"доп")</f>
        <v>7.8125</v>
      </c>
      <c r="F8" s="28" t="n">
        <f aca="false">'1. Настройки'!$B$8</f>
        <v>1.5</v>
      </c>
      <c r="G8" s="28" t="n">
        <f aca="false">(C8+D8+E8+F8)*(1+'1. Настройки'!$B$10/100)</f>
        <v>42.680625</v>
      </c>
      <c r="H8" s="28" t="n">
        <f aca="false">G8*B8</f>
        <v>170.7225</v>
      </c>
      <c r="I8" s="29" t="n">
        <f aca="false">CEILING(G8*'1. Настройки'!$B$9+1,5)-1</f>
        <v>69</v>
      </c>
      <c r="J8" s="28" t="n">
        <f aca="false">I8-G8</f>
        <v>26.319375</v>
      </c>
      <c r="K8" s="28" t="n">
        <f aca="false">J8*B8</f>
        <v>105.2775</v>
      </c>
      <c r="L8" s="30" t="n">
        <f aca="false">IFERROR(J8/I8,0)</f>
        <v>0.381440217391304</v>
      </c>
    </row>
    <row r="10" customFormat="false" ht="15" hidden="false" customHeight="false" outlineLevel="0" collapsed="false">
      <c r="A10" s="18" t="s">
        <v>47</v>
      </c>
      <c r="B10" s="19" t="n">
        <v>1</v>
      </c>
      <c r="C10" s="20" t="n">
        <f aca="false">('1. Настройки'!$B$6+0*'1. Настройки'!$B$7)/B10</f>
        <v>36</v>
      </c>
      <c r="D10" s="20" t="n">
        <f aca="false">SUMIFS('2. Билеты по остановкам'!$D$5:$D$56,'2. Билеты по остановкам'!$A$5:$A$56,$A$10,'2. Билеты по остановкам'!$E$5:$E$56,"билет")</f>
        <v>19.6875</v>
      </c>
      <c r="E10" s="20" t="n">
        <f aca="false">SUMIFS('2. Билеты по остановкам'!$D$5:$D$56,'2. Билеты по остановкам'!$A$5:$A$56,$A$10,'2. Билеты по остановкам'!$E$5:$E$56,"доп")</f>
        <v>21.875</v>
      </c>
      <c r="F10" s="20" t="n">
        <f aca="false">'1. Настройки'!$B$8</f>
        <v>1.5</v>
      </c>
      <c r="G10" s="20" t="n">
        <f aca="false">(C10+D10+E10+F10)*(1+'1. Настройки'!$B$10/100)</f>
        <v>81.434375</v>
      </c>
      <c r="H10" s="20" t="n">
        <f aca="false">G10*B10</f>
        <v>81.434375</v>
      </c>
      <c r="I10" s="21" t="n">
        <f aca="false">CEILING(G10*'1. Настройки'!$B$9+1,5)-1</f>
        <v>134</v>
      </c>
      <c r="J10" s="20" t="n">
        <f aca="false">I10-G10</f>
        <v>52.565625</v>
      </c>
      <c r="K10" s="20" t="n">
        <f aca="false">J10*B10</f>
        <v>52.565625</v>
      </c>
      <c r="L10" s="22" t="n">
        <f aca="false">IFERROR(J10/I10,0)</f>
        <v>0.39228078358209</v>
      </c>
    </row>
    <row r="11" customFormat="false" ht="15" hidden="false" customHeight="false" outlineLevel="0" collapsed="false">
      <c r="A11" s="6"/>
      <c r="B11" s="13" t="n">
        <v>2</v>
      </c>
      <c r="C11" s="23" t="n">
        <f aca="false">('1. Настройки'!$B$6+0*'1. Настройки'!$B$7)/B11</f>
        <v>18</v>
      </c>
      <c r="D11" s="23" t="n">
        <f aca="false">SUMIFS('2. Билеты по остановкам'!$D$5:$D$56,'2. Билеты по остановкам'!$A$5:$A$56,$A$10,'2. Билеты по остановкам'!$E$5:$E$56,"билет")</f>
        <v>19.6875</v>
      </c>
      <c r="E11" s="23" t="n">
        <f aca="false">SUMIFS('2. Билеты по остановкам'!$D$5:$D$56,'2. Билеты по остановкам'!$A$5:$A$56,$A$10,'2. Билеты по остановкам'!$E$5:$E$56,"доп")</f>
        <v>21.875</v>
      </c>
      <c r="F11" s="23" t="n">
        <f aca="false">'1. Настройки'!$B$8</f>
        <v>1.5</v>
      </c>
      <c r="G11" s="23" t="n">
        <f aca="false">(C11+D11+E11+F11)*(1+'1. Настройки'!$B$10/100)</f>
        <v>62.894375</v>
      </c>
      <c r="H11" s="23" t="n">
        <f aca="false">G11*B11</f>
        <v>125.78875</v>
      </c>
      <c r="I11" s="24" t="n">
        <f aca="false">CEILING(G11*'1. Настройки'!$B$9+1,5)-1</f>
        <v>104</v>
      </c>
      <c r="J11" s="23" t="n">
        <f aca="false">I11-G11</f>
        <v>41.105625</v>
      </c>
      <c r="K11" s="23" t="n">
        <f aca="false">J11*B11</f>
        <v>82.21125</v>
      </c>
      <c r="L11" s="25" t="n">
        <f aca="false">IFERROR(J11/I11,0)</f>
        <v>0.395246394230769</v>
      </c>
    </row>
    <row r="12" customFormat="false" ht="15" hidden="false" customHeight="false" outlineLevel="0" collapsed="false">
      <c r="A12" s="6"/>
      <c r="B12" s="13" t="n">
        <v>3</v>
      </c>
      <c r="C12" s="23" t="n">
        <f aca="false">('1. Настройки'!$B$6+0*'1. Настройки'!$B$7)/B12</f>
        <v>12</v>
      </c>
      <c r="D12" s="23" t="n">
        <f aca="false">SUMIFS('2. Билеты по остановкам'!$D$5:$D$56,'2. Билеты по остановкам'!$A$5:$A$56,$A$10,'2. Билеты по остановкам'!$E$5:$E$56,"билет")</f>
        <v>19.6875</v>
      </c>
      <c r="E12" s="23" t="n">
        <f aca="false">SUMIFS('2. Билеты по остановкам'!$D$5:$D$56,'2. Билеты по остановкам'!$A$5:$A$56,$A$10,'2. Билеты по остановкам'!$E$5:$E$56,"доп")</f>
        <v>21.875</v>
      </c>
      <c r="F12" s="23" t="n">
        <f aca="false">'1. Настройки'!$B$8</f>
        <v>1.5</v>
      </c>
      <c r="G12" s="23" t="n">
        <f aca="false">(C12+D12+E12+F12)*(1+'1. Настройки'!$B$10/100)</f>
        <v>56.714375</v>
      </c>
      <c r="H12" s="23" t="n">
        <f aca="false">G12*B12</f>
        <v>170.143125</v>
      </c>
      <c r="I12" s="24" t="n">
        <f aca="false">CEILING(G12*'1. Настройки'!$B$9+1,5)-1</f>
        <v>94</v>
      </c>
      <c r="J12" s="23" t="n">
        <f aca="false">I12-G12</f>
        <v>37.285625</v>
      </c>
      <c r="K12" s="23" t="n">
        <f aca="false">J12*B12</f>
        <v>111.856875</v>
      </c>
      <c r="L12" s="25" t="n">
        <f aca="false">IFERROR(J12/I12,0)</f>
        <v>0.396655585106383</v>
      </c>
    </row>
    <row r="13" customFormat="false" ht="15" hidden="false" customHeight="false" outlineLevel="0" collapsed="false">
      <c r="A13" s="26"/>
      <c r="B13" s="27" t="n">
        <v>4</v>
      </c>
      <c r="C13" s="28" t="n">
        <f aca="false">('1. Настройки'!$B$6+0*'1. Настройки'!$B$7)/B13</f>
        <v>9</v>
      </c>
      <c r="D13" s="28" t="n">
        <f aca="false">SUMIFS('2. Билеты по остановкам'!$D$5:$D$56,'2. Билеты по остановкам'!$A$5:$A$56,$A$10,'2. Билеты по остановкам'!$E$5:$E$56,"билет")</f>
        <v>19.6875</v>
      </c>
      <c r="E13" s="28" t="n">
        <f aca="false">SUMIFS('2. Билеты по остановкам'!$D$5:$D$56,'2. Билеты по остановкам'!$A$5:$A$56,$A$10,'2. Билеты по остановкам'!$E$5:$E$56,"доп")</f>
        <v>21.875</v>
      </c>
      <c r="F13" s="28" t="n">
        <f aca="false">'1. Настройки'!$B$8</f>
        <v>1.5</v>
      </c>
      <c r="G13" s="28" t="n">
        <f aca="false">(C13+D13+E13+F13)*(1+'1. Настройки'!$B$10/100)</f>
        <v>53.624375</v>
      </c>
      <c r="H13" s="28" t="n">
        <f aca="false">G13*B13</f>
        <v>214.4975</v>
      </c>
      <c r="I13" s="29" t="n">
        <f aca="false">CEILING(G13*'1. Настройки'!$B$9+1,5)-1</f>
        <v>89</v>
      </c>
      <c r="J13" s="28" t="n">
        <f aca="false">I13-G13</f>
        <v>35.375625</v>
      </c>
      <c r="K13" s="28" t="n">
        <f aca="false">J13*B13</f>
        <v>141.5025</v>
      </c>
      <c r="L13" s="30" t="n">
        <f aca="false">IFERROR(J13/I13,0)</f>
        <v>0.39747893258427</v>
      </c>
    </row>
    <row r="15" customFormat="false" ht="15" hidden="false" customHeight="false" outlineLevel="0" collapsed="false">
      <c r="A15" s="18" t="s">
        <v>54</v>
      </c>
      <c r="B15" s="19" t="n">
        <v>1</v>
      </c>
      <c r="C15" s="20" t="n">
        <f aca="false">('1. Настройки'!$B$6+0*'1. Настройки'!$B$7)/B15</f>
        <v>36</v>
      </c>
      <c r="D15" s="20" t="n">
        <f aca="false">SUMIFS('2. Билеты по остановкам'!$D$5:$D$56,'2. Билеты по остановкам'!$A$5:$A$56,$A$15,'2. Билеты по остановкам'!$E$5:$E$56,"билет")</f>
        <v>23.125</v>
      </c>
      <c r="E15" s="20" t="n">
        <f aca="false">SUMIFS('2. Билеты по остановкам'!$D$5:$D$56,'2. Билеты по остановкам'!$A$5:$A$56,$A$15,'2. Билеты по остановкам'!$E$5:$E$56,"доп")</f>
        <v>0</v>
      </c>
      <c r="F15" s="20" t="n">
        <f aca="false">'1. Настройки'!$B$8</f>
        <v>1.5</v>
      </c>
      <c r="G15" s="20" t="n">
        <f aca="false">(C15+D15+E15+F15)*(1+'1. Настройки'!$B$10/100)</f>
        <v>62.44375</v>
      </c>
      <c r="H15" s="20" t="n">
        <f aca="false">G15*B15</f>
        <v>62.44375</v>
      </c>
      <c r="I15" s="21" t="n">
        <f aca="false">CEILING(G15*'1. Настройки'!$B$9+1,5)-1</f>
        <v>104</v>
      </c>
      <c r="J15" s="20" t="n">
        <f aca="false">I15-G15</f>
        <v>41.55625</v>
      </c>
      <c r="K15" s="20" t="n">
        <f aca="false">J15*B15</f>
        <v>41.55625</v>
      </c>
      <c r="L15" s="22" t="n">
        <f aca="false">IFERROR(J15/I15,0)</f>
        <v>0.399579326923077</v>
      </c>
    </row>
    <row r="16" customFormat="false" ht="15" hidden="false" customHeight="false" outlineLevel="0" collapsed="false">
      <c r="A16" s="6"/>
      <c r="B16" s="13" t="n">
        <v>2</v>
      </c>
      <c r="C16" s="23" t="n">
        <f aca="false">('1. Настройки'!$B$6+0*'1. Настройки'!$B$7)/B16</f>
        <v>18</v>
      </c>
      <c r="D16" s="23" t="n">
        <f aca="false">SUMIFS('2. Билеты по остановкам'!$D$5:$D$56,'2. Билеты по остановкам'!$A$5:$A$56,$A$15,'2. Билеты по остановкам'!$E$5:$E$56,"билет")</f>
        <v>23.125</v>
      </c>
      <c r="E16" s="23" t="n">
        <f aca="false">SUMIFS('2. Билеты по остановкам'!$D$5:$D$56,'2. Билеты по остановкам'!$A$5:$A$56,$A$15,'2. Билеты по остановкам'!$E$5:$E$56,"доп")</f>
        <v>0</v>
      </c>
      <c r="F16" s="23" t="n">
        <f aca="false">'1. Настройки'!$B$8</f>
        <v>1.5</v>
      </c>
      <c r="G16" s="23" t="n">
        <f aca="false">(C16+D16+E16+F16)*(1+'1. Настройки'!$B$10/100)</f>
        <v>43.90375</v>
      </c>
      <c r="H16" s="23" t="n">
        <f aca="false">G16*B16</f>
        <v>87.8075</v>
      </c>
      <c r="I16" s="24" t="n">
        <f aca="false">CEILING(G16*'1. Настройки'!$B$9+1,5)-1</f>
        <v>74</v>
      </c>
      <c r="J16" s="23" t="n">
        <f aca="false">I16-G16</f>
        <v>30.09625</v>
      </c>
      <c r="K16" s="23" t="n">
        <f aca="false">J16*B16</f>
        <v>60.1925</v>
      </c>
      <c r="L16" s="25" t="n">
        <f aca="false">IFERROR(J16/I16,0)</f>
        <v>0.406706081081081</v>
      </c>
    </row>
    <row r="17" customFormat="false" ht="15" hidden="false" customHeight="false" outlineLevel="0" collapsed="false">
      <c r="A17" s="6"/>
      <c r="B17" s="13" t="n">
        <v>3</v>
      </c>
      <c r="C17" s="23" t="n">
        <f aca="false">('1. Настройки'!$B$6+0*'1. Настройки'!$B$7)/B17</f>
        <v>12</v>
      </c>
      <c r="D17" s="23" t="n">
        <f aca="false">SUMIFS('2. Билеты по остановкам'!$D$5:$D$56,'2. Билеты по остановкам'!$A$5:$A$56,$A$15,'2. Билеты по остановкам'!$E$5:$E$56,"билет")</f>
        <v>23.125</v>
      </c>
      <c r="E17" s="23" t="n">
        <f aca="false">SUMIFS('2. Билеты по остановкам'!$D$5:$D$56,'2. Билеты по остановкам'!$A$5:$A$56,$A$15,'2. Билеты по остановкам'!$E$5:$E$56,"доп")</f>
        <v>0</v>
      </c>
      <c r="F17" s="23" t="n">
        <f aca="false">'1. Настройки'!$B$8</f>
        <v>1.5</v>
      </c>
      <c r="G17" s="23" t="n">
        <f aca="false">(C17+D17+E17+F17)*(1+'1. Настройки'!$B$10/100)</f>
        <v>37.72375</v>
      </c>
      <c r="H17" s="23" t="n">
        <f aca="false">G17*B17</f>
        <v>113.17125</v>
      </c>
      <c r="I17" s="24" t="n">
        <f aca="false">CEILING(G17*'1. Настройки'!$B$9+1,5)-1</f>
        <v>64</v>
      </c>
      <c r="J17" s="23" t="n">
        <f aca="false">I17-G17</f>
        <v>26.27625</v>
      </c>
      <c r="K17" s="23" t="n">
        <f aca="false">J17*B17</f>
        <v>78.82875</v>
      </c>
      <c r="L17" s="25" t="n">
        <f aca="false">IFERROR(J17/I17,0)</f>
        <v>0.41056640625</v>
      </c>
    </row>
    <row r="18" customFormat="false" ht="15" hidden="false" customHeight="false" outlineLevel="0" collapsed="false">
      <c r="A18" s="26"/>
      <c r="B18" s="27" t="n">
        <v>4</v>
      </c>
      <c r="C18" s="28" t="n">
        <f aca="false">('1. Настройки'!$B$6+0*'1. Настройки'!$B$7)/B18</f>
        <v>9</v>
      </c>
      <c r="D18" s="28" t="n">
        <f aca="false">SUMIFS('2. Билеты по остановкам'!$D$5:$D$56,'2. Билеты по остановкам'!$A$5:$A$56,$A$15,'2. Билеты по остановкам'!$E$5:$E$56,"билет")</f>
        <v>23.125</v>
      </c>
      <c r="E18" s="28" t="n">
        <f aca="false">SUMIFS('2. Билеты по остановкам'!$D$5:$D$56,'2. Билеты по остановкам'!$A$5:$A$56,$A$15,'2. Билеты по остановкам'!$E$5:$E$56,"доп")</f>
        <v>0</v>
      </c>
      <c r="F18" s="28" t="n">
        <f aca="false">'1. Настройки'!$B$8</f>
        <v>1.5</v>
      </c>
      <c r="G18" s="28" t="n">
        <f aca="false">(C18+D18+E18+F18)*(1+'1. Настройки'!$B$10/100)</f>
        <v>34.63375</v>
      </c>
      <c r="H18" s="28" t="n">
        <f aca="false">G18*B18</f>
        <v>138.535</v>
      </c>
      <c r="I18" s="29" t="n">
        <f aca="false">CEILING(G18*'1. Настройки'!$B$9+1,5)-1</f>
        <v>59</v>
      </c>
      <c r="J18" s="28" t="n">
        <f aca="false">I18-G18</f>
        <v>24.36625</v>
      </c>
      <c r="K18" s="28" t="n">
        <f aca="false">J18*B18</f>
        <v>97.465</v>
      </c>
      <c r="L18" s="30" t="n">
        <f aca="false">IFERROR(J18/I18,0)</f>
        <v>0.412987288135593</v>
      </c>
    </row>
    <row r="20" customFormat="false" ht="15" hidden="false" customHeight="false" outlineLevel="0" collapsed="false">
      <c r="A20" s="18" t="s">
        <v>59</v>
      </c>
      <c r="B20" s="19" t="n">
        <v>1</v>
      </c>
      <c r="C20" s="20" t="n">
        <f aca="false">('1. Настройки'!$B$6+0*'1. Настройки'!$B$7)/B20</f>
        <v>36</v>
      </c>
      <c r="D20" s="20" t="n">
        <f aca="false">SUMIFS('2. Билеты по остановкам'!$D$5:$D$56,'2. Билеты по остановкам'!$A$5:$A$56,$A$20,'2. Билеты по остановкам'!$E$5:$E$56,"билет")</f>
        <v>23.75</v>
      </c>
      <c r="E20" s="20" t="n">
        <f aca="false">SUMIFS('2. Билеты по остановкам'!$D$5:$D$56,'2. Билеты по остановкам'!$A$5:$A$56,$A$20,'2. Билеты по остановкам'!$E$5:$E$56,"доп")</f>
        <v>0</v>
      </c>
      <c r="F20" s="20" t="n">
        <f aca="false">'1. Настройки'!$B$8</f>
        <v>1.5</v>
      </c>
      <c r="G20" s="20" t="n">
        <f aca="false">(C20+D20+E20+F20)*(1+'1. Настройки'!$B$10/100)</f>
        <v>63.0875</v>
      </c>
      <c r="H20" s="20" t="n">
        <f aca="false">G20*B20</f>
        <v>63.0875</v>
      </c>
      <c r="I20" s="21" t="n">
        <f aca="false">CEILING(G20*'1. Настройки'!$B$9+1,5)-1</f>
        <v>104</v>
      </c>
      <c r="J20" s="20" t="n">
        <f aca="false">I20-G20</f>
        <v>40.9125</v>
      </c>
      <c r="K20" s="20" t="n">
        <f aca="false">J20*B20</f>
        <v>40.9125</v>
      </c>
      <c r="L20" s="22" t="n">
        <f aca="false">IFERROR(J20/I20,0)</f>
        <v>0.393389423076923</v>
      </c>
    </row>
    <row r="21" customFormat="false" ht="15" hidden="false" customHeight="false" outlineLevel="0" collapsed="false">
      <c r="A21" s="6"/>
      <c r="B21" s="13" t="n">
        <v>2</v>
      </c>
      <c r="C21" s="23" t="n">
        <f aca="false">('1. Настройки'!$B$6+0*'1. Настройки'!$B$7)/B21</f>
        <v>18</v>
      </c>
      <c r="D21" s="23" t="n">
        <f aca="false">SUMIFS('2. Билеты по остановкам'!$D$5:$D$56,'2. Билеты по остановкам'!$A$5:$A$56,$A$20,'2. Билеты по остановкам'!$E$5:$E$56,"билет")</f>
        <v>23.75</v>
      </c>
      <c r="E21" s="23" t="n">
        <f aca="false">SUMIFS('2. Билеты по остановкам'!$D$5:$D$56,'2. Билеты по остановкам'!$A$5:$A$56,$A$20,'2. Билеты по остановкам'!$E$5:$E$56,"доп")</f>
        <v>0</v>
      </c>
      <c r="F21" s="23" t="n">
        <f aca="false">'1. Настройки'!$B$8</f>
        <v>1.5</v>
      </c>
      <c r="G21" s="23" t="n">
        <f aca="false">(C21+D21+E21+F21)*(1+'1. Настройки'!$B$10/100)</f>
        <v>44.5475</v>
      </c>
      <c r="H21" s="23" t="n">
        <f aca="false">G21*B21</f>
        <v>89.095</v>
      </c>
      <c r="I21" s="24" t="n">
        <f aca="false">CEILING(G21*'1. Настройки'!$B$9+1,5)-1</f>
        <v>74</v>
      </c>
      <c r="J21" s="23" t="n">
        <f aca="false">I21-G21</f>
        <v>29.4525</v>
      </c>
      <c r="K21" s="23" t="n">
        <f aca="false">J21*B21</f>
        <v>58.905</v>
      </c>
      <c r="L21" s="25" t="n">
        <f aca="false">IFERROR(J21/I21,0)</f>
        <v>0.398006756756757</v>
      </c>
    </row>
    <row r="22" customFormat="false" ht="15" hidden="false" customHeight="false" outlineLevel="0" collapsed="false">
      <c r="A22" s="6"/>
      <c r="B22" s="13" t="n">
        <v>3</v>
      </c>
      <c r="C22" s="23" t="n">
        <f aca="false">('1. Настройки'!$B$6+0*'1. Настройки'!$B$7)/B22</f>
        <v>12</v>
      </c>
      <c r="D22" s="23" t="n">
        <f aca="false">SUMIFS('2. Билеты по остановкам'!$D$5:$D$56,'2. Билеты по остановкам'!$A$5:$A$56,$A$20,'2. Билеты по остановкам'!$E$5:$E$56,"билет")</f>
        <v>23.75</v>
      </c>
      <c r="E22" s="23" t="n">
        <f aca="false">SUMIFS('2. Билеты по остановкам'!$D$5:$D$56,'2. Билеты по остановкам'!$A$5:$A$56,$A$20,'2. Билеты по остановкам'!$E$5:$E$56,"доп")</f>
        <v>0</v>
      </c>
      <c r="F22" s="23" t="n">
        <f aca="false">'1. Настройки'!$B$8</f>
        <v>1.5</v>
      </c>
      <c r="G22" s="23" t="n">
        <f aca="false">(C22+D22+E22+F22)*(1+'1. Настройки'!$B$10/100)</f>
        <v>38.3675</v>
      </c>
      <c r="H22" s="23" t="n">
        <f aca="false">G22*B22</f>
        <v>115.1025</v>
      </c>
      <c r="I22" s="24" t="n">
        <f aca="false">CEILING(G22*'1. Настройки'!$B$9+1,5)-1</f>
        <v>64</v>
      </c>
      <c r="J22" s="23" t="n">
        <f aca="false">I22-G22</f>
        <v>25.6325</v>
      </c>
      <c r="K22" s="23" t="n">
        <f aca="false">J22*B22</f>
        <v>76.8975</v>
      </c>
      <c r="L22" s="25" t="n">
        <f aca="false">IFERROR(J22/I22,0)</f>
        <v>0.4005078125</v>
      </c>
    </row>
    <row r="23" customFormat="false" ht="15" hidden="false" customHeight="false" outlineLevel="0" collapsed="false">
      <c r="A23" s="26"/>
      <c r="B23" s="27" t="n">
        <v>4</v>
      </c>
      <c r="C23" s="28" t="n">
        <f aca="false">('1. Настройки'!$B$6+0*'1. Настройки'!$B$7)/B23</f>
        <v>9</v>
      </c>
      <c r="D23" s="28" t="n">
        <f aca="false">SUMIFS('2. Билеты по остановкам'!$D$5:$D$56,'2. Билеты по остановкам'!$A$5:$A$56,$A$20,'2. Билеты по остановкам'!$E$5:$E$56,"билет")</f>
        <v>23.75</v>
      </c>
      <c r="E23" s="28" t="n">
        <f aca="false">SUMIFS('2. Билеты по остановкам'!$D$5:$D$56,'2. Билеты по остановкам'!$A$5:$A$56,$A$20,'2. Билеты по остановкам'!$E$5:$E$56,"доп")</f>
        <v>0</v>
      </c>
      <c r="F23" s="28" t="n">
        <f aca="false">'1. Настройки'!$B$8</f>
        <v>1.5</v>
      </c>
      <c r="G23" s="28" t="n">
        <f aca="false">(C23+D23+E23+F23)*(1+'1. Настройки'!$B$10/100)</f>
        <v>35.2775</v>
      </c>
      <c r="H23" s="28" t="n">
        <f aca="false">G23*B23</f>
        <v>141.11</v>
      </c>
      <c r="I23" s="29" t="n">
        <f aca="false">CEILING(G23*'1. Настройки'!$B$9+1,5)-1</f>
        <v>59</v>
      </c>
      <c r="J23" s="28" t="n">
        <f aca="false">I23-G23</f>
        <v>23.7225</v>
      </c>
      <c r="K23" s="28" t="n">
        <f aca="false">J23*B23</f>
        <v>94.89</v>
      </c>
      <c r="L23" s="30" t="n">
        <f aca="false">IFERROR(J23/I23,0)</f>
        <v>0.402076271186441</v>
      </c>
    </row>
    <row r="25" customFormat="false" ht="15" hidden="false" customHeight="false" outlineLevel="0" collapsed="false">
      <c r="A25" s="18" t="s">
        <v>62</v>
      </c>
      <c r="B25" s="19" t="n">
        <v>1</v>
      </c>
      <c r="C25" s="20" t="n">
        <f aca="false">('1. Настройки'!$B$6+0*'1. Настройки'!$B$7)/B25</f>
        <v>36</v>
      </c>
      <c r="D25" s="20" t="n">
        <f aca="false">SUMIFS('2. Билеты по остановкам'!$D$5:$D$56,'2. Билеты по остановкам'!$A$5:$A$56,$A$25,'2. Билеты по остановкам'!$E$5:$E$56,"билет")</f>
        <v>27.1875</v>
      </c>
      <c r="E25" s="20" t="n">
        <f aca="false">SUMIFS('2. Билеты по остановкам'!$D$5:$D$56,'2. Билеты по остановкам'!$A$5:$A$56,$A$25,'2. Билеты по остановкам'!$E$5:$E$56,"доп")</f>
        <v>0</v>
      </c>
      <c r="F25" s="20" t="n">
        <f aca="false">'1. Настройки'!$B$8</f>
        <v>1.5</v>
      </c>
      <c r="G25" s="20" t="n">
        <f aca="false">(C25+D25+E25+F25)*(1+'1. Настройки'!$B$10/100)</f>
        <v>66.628125</v>
      </c>
      <c r="H25" s="20" t="n">
        <f aca="false">G25*B25</f>
        <v>66.628125</v>
      </c>
      <c r="I25" s="21" t="n">
        <f aca="false">CEILING(G25*'1. Настройки'!$B$9+1,5)-1</f>
        <v>109</v>
      </c>
      <c r="J25" s="20" t="n">
        <f aca="false">I25-G25</f>
        <v>42.371875</v>
      </c>
      <c r="K25" s="20" t="n">
        <f aca="false">J25*B25</f>
        <v>42.371875</v>
      </c>
      <c r="L25" s="22" t="n">
        <f aca="false">IFERROR(J25/I25,0)</f>
        <v>0.388732798165138</v>
      </c>
    </row>
    <row r="26" customFormat="false" ht="15" hidden="false" customHeight="false" outlineLevel="0" collapsed="false">
      <c r="A26" s="6"/>
      <c r="B26" s="13" t="n">
        <v>2</v>
      </c>
      <c r="C26" s="23" t="n">
        <f aca="false">('1. Настройки'!$B$6+0*'1. Настройки'!$B$7)/B26</f>
        <v>18</v>
      </c>
      <c r="D26" s="23" t="n">
        <f aca="false">SUMIFS('2. Билеты по остановкам'!$D$5:$D$56,'2. Билеты по остановкам'!$A$5:$A$56,$A$25,'2. Билеты по остановкам'!$E$5:$E$56,"билет")</f>
        <v>27.1875</v>
      </c>
      <c r="E26" s="23" t="n">
        <f aca="false">SUMIFS('2. Билеты по остановкам'!$D$5:$D$56,'2. Билеты по остановкам'!$A$5:$A$56,$A$25,'2. Билеты по остановкам'!$E$5:$E$56,"доп")</f>
        <v>0</v>
      </c>
      <c r="F26" s="23" t="n">
        <f aca="false">'1. Настройки'!$B$8</f>
        <v>1.5</v>
      </c>
      <c r="G26" s="23" t="n">
        <f aca="false">(C26+D26+E26+F26)*(1+'1. Настройки'!$B$10/100)</f>
        <v>48.088125</v>
      </c>
      <c r="H26" s="23" t="n">
        <f aca="false">G26*B26</f>
        <v>96.17625</v>
      </c>
      <c r="I26" s="24" t="n">
        <f aca="false">CEILING(G26*'1. Настройки'!$B$9+1,5)-1</f>
        <v>79</v>
      </c>
      <c r="J26" s="23" t="n">
        <f aca="false">I26-G26</f>
        <v>30.911875</v>
      </c>
      <c r="K26" s="23" t="n">
        <f aca="false">J26*B26</f>
        <v>61.82375</v>
      </c>
      <c r="L26" s="25" t="n">
        <f aca="false">IFERROR(J26/I26,0)</f>
        <v>0.391289556962025</v>
      </c>
    </row>
    <row r="27" customFormat="false" ht="15" hidden="false" customHeight="false" outlineLevel="0" collapsed="false">
      <c r="A27" s="6"/>
      <c r="B27" s="13" t="n">
        <v>3</v>
      </c>
      <c r="C27" s="23" t="n">
        <f aca="false">('1. Настройки'!$B$6+0*'1. Настройки'!$B$7)/B27</f>
        <v>12</v>
      </c>
      <c r="D27" s="23" t="n">
        <f aca="false">SUMIFS('2. Билеты по остановкам'!$D$5:$D$56,'2. Билеты по остановкам'!$A$5:$A$56,$A$25,'2. Билеты по остановкам'!$E$5:$E$56,"билет")</f>
        <v>27.1875</v>
      </c>
      <c r="E27" s="23" t="n">
        <f aca="false">SUMIFS('2. Билеты по остановкам'!$D$5:$D$56,'2. Билеты по остановкам'!$A$5:$A$56,$A$25,'2. Билеты по остановкам'!$E$5:$E$56,"доп")</f>
        <v>0</v>
      </c>
      <c r="F27" s="23" t="n">
        <f aca="false">'1. Настройки'!$B$8</f>
        <v>1.5</v>
      </c>
      <c r="G27" s="23" t="n">
        <f aca="false">(C27+D27+E27+F27)*(1+'1. Настройки'!$B$10/100)</f>
        <v>41.908125</v>
      </c>
      <c r="H27" s="23" t="n">
        <f aca="false">G27*B27</f>
        <v>125.724375</v>
      </c>
      <c r="I27" s="24" t="n">
        <f aca="false">CEILING(G27*'1. Настройки'!$B$9+1,5)-1</f>
        <v>69</v>
      </c>
      <c r="J27" s="23" t="n">
        <f aca="false">I27-G27</f>
        <v>27.091875</v>
      </c>
      <c r="K27" s="23" t="n">
        <f aca="false">J27*B27</f>
        <v>81.275625</v>
      </c>
      <c r="L27" s="25" t="n">
        <f aca="false">IFERROR(J27/I27,0)</f>
        <v>0.392635869565217</v>
      </c>
    </row>
    <row r="28" customFormat="false" ht="15" hidden="false" customHeight="false" outlineLevel="0" collapsed="false">
      <c r="A28" s="26"/>
      <c r="B28" s="27" t="n">
        <v>4</v>
      </c>
      <c r="C28" s="28" t="n">
        <f aca="false">('1. Настройки'!$B$6+0*'1. Настройки'!$B$7)/B28</f>
        <v>9</v>
      </c>
      <c r="D28" s="28" t="n">
        <f aca="false">SUMIFS('2. Билеты по остановкам'!$D$5:$D$56,'2. Билеты по остановкам'!$A$5:$A$56,$A$25,'2. Билеты по остановкам'!$E$5:$E$56,"билет")</f>
        <v>27.1875</v>
      </c>
      <c r="E28" s="28" t="n">
        <f aca="false">SUMIFS('2. Билеты по остановкам'!$D$5:$D$56,'2. Билеты по остановкам'!$A$5:$A$56,$A$25,'2. Билеты по остановкам'!$E$5:$E$56,"доп")</f>
        <v>0</v>
      </c>
      <c r="F28" s="28" t="n">
        <f aca="false">'1. Настройки'!$B$8</f>
        <v>1.5</v>
      </c>
      <c r="G28" s="28" t="n">
        <f aca="false">(C28+D28+E28+F28)*(1+'1. Настройки'!$B$10/100)</f>
        <v>38.818125</v>
      </c>
      <c r="H28" s="28" t="n">
        <f aca="false">G28*B28</f>
        <v>155.2725</v>
      </c>
      <c r="I28" s="29" t="n">
        <f aca="false">CEILING(G28*'1. Настройки'!$B$9+1,5)-1</f>
        <v>64</v>
      </c>
      <c r="J28" s="28" t="n">
        <f aca="false">I28-G28</f>
        <v>25.181875</v>
      </c>
      <c r="K28" s="28" t="n">
        <f aca="false">J28*B28</f>
        <v>100.7275</v>
      </c>
      <c r="L28" s="30" t="n">
        <f aca="false">IFERROR(J28/I28,0)</f>
        <v>0.393466796875</v>
      </c>
    </row>
    <row r="30" customFormat="false" ht="15" hidden="false" customHeight="false" outlineLevel="0" collapsed="false">
      <c r="A30" s="18" t="s">
        <v>65</v>
      </c>
      <c r="B30" s="19" t="n">
        <v>1</v>
      </c>
      <c r="C30" s="20" t="n">
        <f aca="false">('1. Настройки'!$B$6+2*'1. Настройки'!$B$7)/B30</f>
        <v>46</v>
      </c>
      <c r="D30" s="20" t="n">
        <f aca="false">SUMIFS('2. Билеты по остановкам'!$D$5:$D$56,'2. Билеты по остановкам'!$A$5:$A$56,$A$30,'2. Билеты по остановкам'!$E$5:$E$56,"билет")</f>
        <v>25.9375</v>
      </c>
      <c r="E30" s="20" t="n">
        <f aca="false">SUMIFS('2. Билеты по остановкам'!$D$5:$D$56,'2. Билеты по остановкам'!$A$5:$A$56,$A$30,'2. Билеты по остановкам'!$E$5:$E$56,"доп")</f>
        <v>0</v>
      </c>
      <c r="F30" s="20" t="n">
        <f aca="false">'1. Настройки'!$B$8</f>
        <v>1.5</v>
      </c>
      <c r="G30" s="20" t="n">
        <f aca="false">(C30+D30+E30+F30)*(1+'1. Настройки'!$B$10/100)</f>
        <v>75.640625</v>
      </c>
      <c r="H30" s="20" t="n">
        <f aca="false">G30*B30</f>
        <v>75.640625</v>
      </c>
      <c r="I30" s="21" t="n">
        <f aca="false">CEILING(G30*'1. Настройки'!$B$9+1,5)-1</f>
        <v>124</v>
      </c>
      <c r="J30" s="20" t="n">
        <f aca="false">I30-G30</f>
        <v>48.359375</v>
      </c>
      <c r="K30" s="20" t="n">
        <f aca="false">J30*B30</f>
        <v>48.359375</v>
      </c>
      <c r="L30" s="22" t="n">
        <f aca="false">IFERROR(J30/I30,0)</f>
        <v>0.389994959677419</v>
      </c>
    </row>
    <row r="31" customFormat="false" ht="15" hidden="false" customHeight="false" outlineLevel="0" collapsed="false">
      <c r="A31" s="6"/>
      <c r="B31" s="13" t="n">
        <v>2</v>
      </c>
      <c r="C31" s="23" t="n">
        <f aca="false">('1. Настройки'!$B$6+2*'1. Настройки'!$B$7)/B31</f>
        <v>23</v>
      </c>
      <c r="D31" s="23" t="n">
        <f aca="false">SUMIFS('2. Билеты по остановкам'!$D$5:$D$56,'2. Билеты по остановкам'!$A$5:$A$56,$A$30,'2. Билеты по остановкам'!$E$5:$E$56,"билет")</f>
        <v>25.9375</v>
      </c>
      <c r="E31" s="23" t="n">
        <f aca="false">SUMIFS('2. Билеты по остановкам'!$D$5:$D$56,'2. Билеты по остановкам'!$A$5:$A$56,$A$30,'2. Билеты по остановкам'!$E$5:$E$56,"доп")</f>
        <v>0</v>
      </c>
      <c r="F31" s="23" t="n">
        <f aca="false">'1. Настройки'!$B$8</f>
        <v>1.5</v>
      </c>
      <c r="G31" s="23" t="n">
        <f aca="false">(C31+D31+E31+F31)*(1+'1. Настройки'!$B$10/100)</f>
        <v>51.950625</v>
      </c>
      <c r="H31" s="23" t="n">
        <f aca="false">G31*B31</f>
        <v>103.90125</v>
      </c>
      <c r="I31" s="24" t="n">
        <f aca="false">CEILING(G31*'1. Настройки'!$B$9+1,5)-1</f>
        <v>84</v>
      </c>
      <c r="J31" s="23" t="n">
        <f aca="false">I31-G31</f>
        <v>32.049375</v>
      </c>
      <c r="K31" s="23" t="n">
        <f aca="false">J31*B31</f>
        <v>64.09875</v>
      </c>
      <c r="L31" s="25" t="n">
        <f aca="false">IFERROR(J31/I31,0)</f>
        <v>0.381540178571429</v>
      </c>
    </row>
    <row r="32" customFormat="false" ht="15" hidden="false" customHeight="false" outlineLevel="0" collapsed="false">
      <c r="A32" s="6"/>
      <c r="B32" s="13" t="n">
        <v>3</v>
      </c>
      <c r="C32" s="23" t="n">
        <f aca="false">('1. Настройки'!$B$6+2*'1. Настройки'!$B$7)/B32</f>
        <v>15.3333333333333</v>
      </c>
      <c r="D32" s="23" t="n">
        <f aca="false">SUMIFS('2. Билеты по остановкам'!$D$5:$D$56,'2. Билеты по остановкам'!$A$5:$A$56,$A$30,'2. Билеты по остановкам'!$E$5:$E$56,"билет")</f>
        <v>25.9375</v>
      </c>
      <c r="E32" s="23" t="n">
        <f aca="false">SUMIFS('2. Билеты по остановкам'!$D$5:$D$56,'2. Билеты по остановкам'!$A$5:$A$56,$A$30,'2. Билеты по остановкам'!$E$5:$E$56,"доп")</f>
        <v>0</v>
      </c>
      <c r="F32" s="23" t="n">
        <f aca="false">'1. Настройки'!$B$8</f>
        <v>1.5</v>
      </c>
      <c r="G32" s="23" t="n">
        <f aca="false">(C32+D32+E32+F32)*(1+'1. Настройки'!$B$10/100)</f>
        <v>44.0539583333333</v>
      </c>
      <c r="H32" s="23" t="n">
        <f aca="false">G32*B32</f>
        <v>132.161875</v>
      </c>
      <c r="I32" s="24" t="n">
        <f aca="false">CEILING(G32*'1. Настройки'!$B$9+1,5)-1</f>
        <v>74</v>
      </c>
      <c r="J32" s="23" t="n">
        <f aca="false">I32-G32</f>
        <v>29.9460416666667</v>
      </c>
      <c r="K32" s="23" t="n">
        <f aca="false">J32*B32</f>
        <v>89.838125</v>
      </c>
      <c r="L32" s="25" t="n">
        <f aca="false">IFERROR(J32/I32,0)</f>
        <v>0.404676238738739</v>
      </c>
    </row>
    <row r="33" customFormat="false" ht="15" hidden="false" customHeight="false" outlineLevel="0" collapsed="false">
      <c r="A33" s="26"/>
      <c r="B33" s="27" t="n">
        <v>4</v>
      </c>
      <c r="C33" s="28" t="n">
        <f aca="false">('1. Настройки'!$B$6+2*'1. Настройки'!$B$7)/B33</f>
        <v>11.5</v>
      </c>
      <c r="D33" s="28" t="n">
        <f aca="false">SUMIFS('2. Билеты по остановкам'!$D$5:$D$56,'2. Билеты по остановкам'!$A$5:$A$56,$A$30,'2. Билеты по остановкам'!$E$5:$E$56,"билет")</f>
        <v>25.9375</v>
      </c>
      <c r="E33" s="28" t="n">
        <f aca="false">SUMIFS('2. Билеты по остановкам'!$D$5:$D$56,'2. Билеты по остановкам'!$A$5:$A$56,$A$30,'2. Билеты по остановкам'!$E$5:$E$56,"доп")</f>
        <v>0</v>
      </c>
      <c r="F33" s="28" t="n">
        <f aca="false">'1. Настройки'!$B$8</f>
        <v>1.5</v>
      </c>
      <c r="G33" s="28" t="n">
        <f aca="false">(C33+D33+E33+F33)*(1+'1. Настройки'!$B$10/100)</f>
        <v>40.105625</v>
      </c>
      <c r="H33" s="28" t="n">
        <f aca="false">G33*B33</f>
        <v>160.4225</v>
      </c>
      <c r="I33" s="29" t="n">
        <f aca="false">CEILING(G33*'1. Настройки'!$B$9+1,5)-1</f>
        <v>69</v>
      </c>
      <c r="J33" s="28" t="n">
        <f aca="false">I33-G33</f>
        <v>28.894375</v>
      </c>
      <c r="K33" s="28" t="n">
        <f aca="false">J33*B33</f>
        <v>115.5775</v>
      </c>
      <c r="L33" s="30" t="n">
        <f aca="false">IFERROR(J33/I33,0)</f>
        <v>0.418759057971014</v>
      </c>
    </row>
    <row r="35" customFormat="false" ht="15" hidden="false" customHeight="false" outlineLevel="0" collapsed="false">
      <c r="A35" s="18" t="s">
        <v>67</v>
      </c>
      <c r="B35" s="19" t="n">
        <v>1</v>
      </c>
      <c r="C35" s="20" t="n">
        <f aca="false">('1. Настройки'!$B$6+2*'1. Настройки'!$B$7)/B35</f>
        <v>46</v>
      </c>
      <c r="D35" s="20" t="n">
        <f aca="false">SUMIFS('2. Билеты по остановкам'!$D$5:$D$56,'2. Билеты по остановкам'!$A$5:$A$56,$A$35,'2. Билеты по остановкам'!$E$5:$E$56,"билет")</f>
        <v>7.5</v>
      </c>
      <c r="E35" s="20" t="n">
        <f aca="false">SUMIFS('2. Билеты по остановкам'!$D$5:$D$56,'2. Билеты по остановкам'!$A$5:$A$56,$A$35,'2. Билеты по остановкам'!$E$5:$E$56,"доп")</f>
        <v>6.25</v>
      </c>
      <c r="F35" s="20" t="n">
        <f aca="false">'1. Настройки'!$B$8</f>
        <v>1.5</v>
      </c>
      <c r="G35" s="20" t="n">
        <f aca="false">(C35+D35+E35+F35)*(1+'1. Настройки'!$B$10/100)</f>
        <v>63.0875</v>
      </c>
      <c r="H35" s="20" t="n">
        <f aca="false">G35*B35</f>
        <v>63.0875</v>
      </c>
      <c r="I35" s="21" t="n">
        <f aca="false">CEILING(G35*'1. Настройки'!$B$9+1,5)-1</f>
        <v>104</v>
      </c>
      <c r="J35" s="20" t="n">
        <f aca="false">I35-G35</f>
        <v>40.9125</v>
      </c>
      <c r="K35" s="20" t="n">
        <f aca="false">J35*B35</f>
        <v>40.9125</v>
      </c>
      <c r="L35" s="22" t="n">
        <f aca="false">IFERROR(J35/I35,0)</f>
        <v>0.393389423076923</v>
      </c>
    </row>
    <row r="36" customFormat="false" ht="15" hidden="false" customHeight="false" outlineLevel="0" collapsed="false">
      <c r="A36" s="6"/>
      <c r="B36" s="13" t="n">
        <v>2</v>
      </c>
      <c r="C36" s="23" t="n">
        <f aca="false">('1. Настройки'!$B$6+2*'1. Настройки'!$B$7)/B36</f>
        <v>23</v>
      </c>
      <c r="D36" s="23" t="n">
        <f aca="false">SUMIFS('2. Билеты по остановкам'!$D$5:$D$56,'2. Билеты по остановкам'!$A$5:$A$56,$A$35,'2. Билеты по остановкам'!$E$5:$E$56,"билет")</f>
        <v>7.5</v>
      </c>
      <c r="E36" s="23" t="n">
        <f aca="false">SUMIFS('2. Билеты по остановкам'!$D$5:$D$56,'2. Билеты по остановкам'!$A$5:$A$56,$A$35,'2. Билеты по остановкам'!$E$5:$E$56,"доп")</f>
        <v>6.25</v>
      </c>
      <c r="F36" s="23" t="n">
        <f aca="false">'1. Настройки'!$B$8</f>
        <v>1.5</v>
      </c>
      <c r="G36" s="23" t="n">
        <f aca="false">(C36+D36+E36+F36)*(1+'1. Настройки'!$B$10/100)</f>
        <v>39.3975</v>
      </c>
      <c r="H36" s="23" t="n">
        <f aca="false">G36*B36</f>
        <v>78.795</v>
      </c>
      <c r="I36" s="24" t="n">
        <f aca="false">CEILING(G36*'1. Настройки'!$B$9+1,5)-1</f>
        <v>64</v>
      </c>
      <c r="J36" s="23" t="n">
        <f aca="false">I36-G36</f>
        <v>24.6025</v>
      </c>
      <c r="K36" s="23" t="n">
        <f aca="false">J36*B36</f>
        <v>49.205</v>
      </c>
      <c r="L36" s="25" t="n">
        <f aca="false">IFERROR(J36/I36,0)</f>
        <v>0.3844140625</v>
      </c>
    </row>
    <row r="37" customFormat="false" ht="15" hidden="false" customHeight="false" outlineLevel="0" collapsed="false">
      <c r="A37" s="6"/>
      <c r="B37" s="13" t="n">
        <v>3</v>
      </c>
      <c r="C37" s="23" t="n">
        <f aca="false">('1. Настройки'!$B$6+2*'1. Настройки'!$B$7)/B37</f>
        <v>15.3333333333333</v>
      </c>
      <c r="D37" s="23" t="n">
        <f aca="false">SUMIFS('2. Билеты по остановкам'!$D$5:$D$56,'2. Билеты по остановкам'!$A$5:$A$56,$A$35,'2. Билеты по остановкам'!$E$5:$E$56,"билет")</f>
        <v>7.5</v>
      </c>
      <c r="E37" s="23" t="n">
        <f aca="false">SUMIFS('2. Билеты по остановкам'!$D$5:$D$56,'2. Билеты по остановкам'!$A$5:$A$56,$A$35,'2. Билеты по остановкам'!$E$5:$E$56,"доп")</f>
        <v>6.25</v>
      </c>
      <c r="F37" s="23" t="n">
        <f aca="false">'1. Настройки'!$B$8</f>
        <v>1.5</v>
      </c>
      <c r="G37" s="23" t="n">
        <f aca="false">(C37+D37+E37+F37)*(1+'1. Настройки'!$B$10/100)</f>
        <v>31.5008333333333</v>
      </c>
      <c r="H37" s="23" t="n">
        <f aca="false">G37*B37</f>
        <v>94.5025</v>
      </c>
      <c r="I37" s="24" t="n">
        <f aca="false">CEILING(G37*'1. Настройки'!$B$9+1,5)-1</f>
        <v>54</v>
      </c>
      <c r="J37" s="23" t="n">
        <f aca="false">I37-G37</f>
        <v>22.4991666666667</v>
      </c>
      <c r="K37" s="23" t="n">
        <f aca="false">J37*B37</f>
        <v>67.4975</v>
      </c>
      <c r="L37" s="25" t="n">
        <f aca="false">IFERROR(J37/I37,0)</f>
        <v>0.416651234567901</v>
      </c>
    </row>
    <row r="38" customFormat="false" ht="15" hidden="false" customHeight="false" outlineLevel="0" collapsed="false">
      <c r="A38" s="26"/>
      <c r="B38" s="27" t="n">
        <v>4</v>
      </c>
      <c r="C38" s="28" t="n">
        <f aca="false">('1. Настройки'!$B$6+2*'1. Настройки'!$B$7)/B38</f>
        <v>11.5</v>
      </c>
      <c r="D38" s="28" t="n">
        <f aca="false">SUMIFS('2. Билеты по остановкам'!$D$5:$D$56,'2. Билеты по остановкам'!$A$5:$A$56,$A$35,'2. Билеты по остановкам'!$E$5:$E$56,"билет")</f>
        <v>7.5</v>
      </c>
      <c r="E38" s="28" t="n">
        <f aca="false">SUMIFS('2. Билеты по остановкам'!$D$5:$D$56,'2. Билеты по остановкам'!$A$5:$A$56,$A$35,'2. Билеты по остановкам'!$E$5:$E$56,"доп")</f>
        <v>6.25</v>
      </c>
      <c r="F38" s="28" t="n">
        <f aca="false">'1. Настройки'!$B$8</f>
        <v>1.5</v>
      </c>
      <c r="G38" s="28" t="n">
        <f aca="false">(C38+D38+E38+F38)*(1+'1. Настройки'!$B$10/100)</f>
        <v>27.5525</v>
      </c>
      <c r="H38" s="28" t="n">
        <f aca="false">G38*B38</f>
        <v>110.21</v>
      </c>
      <c r="I38" s="29" t="n">
        <f aca="false">CEILING(G38*'1. Настройки'!$B$9+1,5)-1</f>
        <v>49</v>
      </c>
      <c r="J38" s="28" t="n">
        <f aca="false">I38-G38</f>
        <v>21.4475</v>
      </c>
      <c r="K38" s="28" t="n">
        <f aca="false">J38*B38</f>
        <v>85.79</v>
      </c>
      <c r="L38" s="30" t="n">
        <f aca="false">IFERROR(J38/I38,0)</f>
        <v>0.437704081632653</v>
      </c>
    </row>
    <row r="40" customFormat="false" ht="15" hidden="false" customHeight="false" outlineLevel="0" collapsed="false">
      <c r="A40" s="18" t="s">
        <v>71</v>
      </c>
      <c r="B40" s="19" t="n">
        <v>1</v>
      </c>
      <c r="C40" s="20" t="n">
        <f aca="false">('1. Настройки'!$B$6+0*'1. Настройки'!$B$7)/B40</f>
        <v>36</v>
      </c>
      <c r="D40" s="20" t="n">
        <f aca="false">SUMIFS('2. Билеты по остановкам'!$D$5:$D$56,'2. Билеты по остановкам'!$A$5:$A$56,$A$40,'2. Билеты по остановкам'!$E$5:$E$56,"билет")</f>
        <v>8.75</v>
      </c>
      <c r="E40" s="20" t="n">
        <f aca="false">SUMIFS('2. Билеты по остановкам'!$D$5:$D$56,'2. Билеты по остановкам'!$A$5:$A$56,$A$40,'2. Билеты по остановкам'!$E$5:$E$56,"доп")</f>
        <v>6.25</v>
      </c>
      <c r="F40" s="20" t="n">
        <f aca="false">'1. Настройки'!$B$8</f>
        <v>1.5</v>
      </c>
      <c r="G40" s="20" t="n">
        <f aca="false">(C40+D40+E40+F40)*(1+'1. Настройки'!$B$10/100)</f>
        <v>54.075</v>
      </c>
      <c r="H40" s="20" t="n">
        <f aca="false">G40*B40</f>
        <v>54.075</v>
      </c>
      <c r="I40" s="21" t="n">
        <f aca="false">CEILING(G40*'1. Настройки'!$B$9+1,5)-1</f>
        <v>89</v>
      </c>
      <c r="J40" s="20" t="n">
        <f aca="false">I40-G40</f>
        <v>34.925</v>
      </c>
      <c r="K40" s="20" t="n">
        <f aca="false">J40*B40</f>
        <v>34.925</v>
      </c>
      <c r="L40" s="22" t="n">
        <f aca="false">IFERROR(J40/I40,0)</f>
        <v>0.392415730337079</v>
      </c>
    </row>
    <row r="41" customFormat="false" ht="15" hidden="false" customHeight="false" outlineLevel="0" collapsed="false">
      <c r="A41" s="6"/>
      <c r="B41" s="13" t="n">
        <v>2</v>
      </c>
      <c r="C41" s="23" t="n">
        <f aca="false">('1. Настройки'!$B$6+0*'1. Настройки'!$B$7)/B41</f>
        <v>18</v>
      </c>
      <c r="D41" s="23" t="n">
        <f aca="false">SUMIFS('2. Билеты по остановкам'!$D$5:$D$56,'2. Билеты по остановкам'!$A$5:$A$56,$A$40,'2. Билеты по остановкам'!$E$5:$E$56,"билет")</f>
        <v>8.75</v>
      </c>
      <c r="E41" s="23" t="n">
        <f aca="false">SUMIFS('2. Билеты по остановкам'!$D$5:$D$56,'2. Билеты по остановкам'!$A$5:$A$56,$A$40,'2. Билеты по остановкам'!$E$5:$E$56,"доп")</f>
        <v>6.25</v>
      </c>
      <c r="F41" s="23" t="n">
        <f aca="false">'1. Настройки'!$B$8</f>
        <v>1.5</v>
      </c>
      <c r="G41" s="23" t="n">
        <f aca="false">(C41+D41+E41+F41)*(1+'1. Настройки'!$B$10/100)</f>
        <v>35.535</v>
      </c>
      <c r="H41" s="23" t="n">
        <f aca="false">G41*B41</f>
        <v>71.07</v>
      </c>
      <c r="I41" s="24" t="n">
        <f aca="false">CEILING(G41*'1. Настройки'!$B$9+1,5)-1</f>
        <v>59</v>
      </c>
      <c r="J41" s="23" t="n">
        <f aca="false">I41-G41</f>
        <v>23.465</v>
      </c>
      <c r="K41" s="23" t="n">
        <f aca="false">J41*B41</f>
        <v>46.93</v>
      </c>
      <c r="L41" s="25" t="n">
        <f aca="false">IFERROR(J41/I41,0)</f>
        <v>0.39771186440678</v>
      </c>
    </row>
    <row r="42" customFormat="false" ht="15" hidden="false" customHeight="false" outlineLevel="0" collapsed="false">
      <c r="A42" s="6"/>
      <c r="B42" s="13" t="n">
        <v>3</v>
      </c>
      <c r="C42" s="23" t="n">
        <f aca="false">('1. Настройки'!$B$6+0*'1. Настройки'!$B$7)/B42</f>
        <v>12</v>
      </c>
      <c r="D42" s="23" t="n">
        <f aca="false">SUMIFS('2. Билеты по остановкам'!$D$5:$D$56,'2. Билеты по остановкам'!$A$5:$A$56,$A$40,'2. Билеты по остановкам'!$E$5:$E$56,"билет")</f>
        <v>8.75</v>
      </c>
      <c r="E42" s="23" t="n">
        <f aca="false">SUMIFS('2. Билеты по остановкам'!$D$5:$D$56,'2. Билеты по остановкам'!$A$5:$A$56,$A$40,'2. Билеты по остановкам'!$E$5:$E$56,"доп")</f>
        <v>6.25</v>
      </c>
      <c r="F42" s="23" t="n">
        <f aca="false">'1. Настройки'!$B$8</f>
        <v>1.5</v>
      </c>
      <c r="G42" s="23" t="n">
        <f aca="false">(C42+D42+E42+F42)*(1+'1. Настройки'!$B$10/100)</f>
        <v>29.355</v>
      </c>
      <c r="H42" s="23" t="n">
        <f aca="false">G42*B42</f>
        <v>88.065</v>
      </c>
      <c r="I42" s="24" t="n">
        <f aca="false">CEILING(G42*'1. Настройки'!$B$9+1,5)-1</f>
        <v>49</v>
      </c>
      <c r="J42" s="23" t="n">
        <f aca="false">I42-G42</f>
        <v>19.645</v>
      </c>
      <c r="K42" s="23" t="n">
        <f aca="false">J42*B42</f>
        <v>58.935</v>
      </c>
      <c r="L42" s="25" t="n">
        <f aca="false">IFERROR(J42/I42,0)</f>
        <v>0.400918367346939</v>
      </c>
    </row>
    <row r="43" customFormat="false" ht="15" hidden="false" customHeight="false" outlineLevel="0" collapsed="false">
      <c r="A43" s="26"/>
      <c r="B43" s="27" t="n">
        <v>4</v>
      </c>
      <c r="C43" s="28" t="n">
        <f aca="false">('1. Настройки'!$B$6+0*'1. Настройки'!$B$7)/B43</f>
        <v>9</v>
      </c>
      <c r="D43" s="28" t="n">
        <f aca="false">SUMIFS('2. Билеты по остановкам'!$D$5:$D$56,'2. Билеты по остановкам'!$A$5:$A$56,$A$40,'2. Билеты по остановкам'!$E$5:$E$56,"билет")</f>
        <v>8.75</v>
      </c>
      <c r="E43" s="28" t="n">
        <f aca="false">SUMIFS('2. Билеты по остановкам'!$D$5:$D$56,'2. Билеты по остановкам'!$A$5:$A$56,$A$40,'2. Билеты по остановкам'!$E$5:$E$56,"доп")</f>
        <v>6.25</v>
      </c>
      <c r="F43" s="28" t="n">
        <f aca="false">'1. Настройки'!$B$8</f>
        <v>1.5</v>
      </c>
      <c r="G43" s="28" t="n">
        <f aca="false">(C43+D43+E43+F43)*(1+'1. Настройки'!$B$10/100)</f>
        <v>26.265</v>
      </c>
      <c r="H43" s="28" t="n">
        <f aca="false">G43*B43</f>
        <v>105.06</v>
      </c>
      <c r="I43" s="29" t="n">
        <f aca="false">CEILING(G43*'1. Настройки'!$B$9+1,5)-1</f>
        <v>44</v>
      </c>
      <c r="J43" s="28" t="n">
        <f aca="false">I43-G43</f>
        <v>17.735</v>
      </c>
      <c r="K43" s="28" t="n">
        <f aca="false">J43*B43</f>
        <v>70.94</v>
      </c>
      <c r="L43" s="30" t="n">
        <f aca="false">IFERROR(J43/I43,0)</f>
        <v>0.403068181818182</v>
      </c>
    </row>
    <row r="45" customFormat="false" ht="15" hidden="false" customHeight="false" outlineLevel="0" collapsed="false">
      <c r="A45" s="18" t="s">
        <v>72</v>
      </c>
      <c r="B45" s="19" t="n">
        <v>1</v>
      </c>
      <c r="C45" s="20" t="n">
        <f aca="false">('1. Настройки'!$B$6+0*'1. Настройки'!$B$7)/B45</f>
        <v>36</v>
      </c>
      <c r="D45" s="20" t="n">
        <f aca="false">SUMIFS('2. Билеты по остановкам'!$D$5:$D$56,'2. Билеты по остановкам'!$A$5:$A$56,$A$45,'2. Билеты по остановкам'!$E$5:$E$56,"билет")</f>
        <v>0</v>
      </c>
      <c r="E45" s="20" t="n">
        <f aca="false">SUMIFS('2. Билеты по остановкам'!$D$5:$D$56,'2. Билеты по остановкам'!$A$5:$A$56,$A$45,'2. Билеты по остановкам'!$E$5:$E$56,"доп")</f>
        <v>0</v>
      </c>
      <c r="F45" s="20" t="n">
        <f aca="false">'1. Настройки'!$B$8</f>
        <v>1.5</v>
      </c>
      <c r="G45" s="20" t="n">
        <f aca="false">(C45+D45+E45+F45)*(1+'1. Настройки'!$B$10/100)</f>
        <v>38.625</v>
      </c>
      <c r="H45" s="20" t="n">
        <f aca="false">G45*B45</f>
        <v>38.625</v>
      </c>
      <c r="I45" s="21" t="n">
        <f aca="false">CEILING(G45*'1. Настройки'!$B$9+1,5)-1</f>
        <v>64</v>
      </c>
      <c r="J45" s="20" t="n">
        <f aca="false">I45-G45</f>
        <v>25.375</v>
      </c>
      <c r="K45" s="20" t="n">
        <f aca="false">J45*B45</f>
        <v>25.375</v>
      </c>
      <c r="L45" s="22" t="n">
        <f aca="false">IFERROR(J45/I45,0)</f>
        <v>0.396484375</v>
      </c>
    </row>
    <row r="46" customFormat="false" ht="15" hidden="false" customHeight="false" outlineLevel="0" collapsed="false">
      <c r="A46" s="6"/>
      <c r="B46" s="13" t="n">
        <v>2</v>
      </c>
      <c r="C46" s="23" t="n">
        <f aca="false">('1. Настройки'!$B$6+0*'1. Настройки'!$B$7)/B46</f>
        <v>18</v>
      </c>
      <c r="D46" s="23" t="n">
        <f aca="false">SUMIFS('2. Билеты по остановкам'!$D$5:$D$56,'2. Билеты по остановкам'!$A$5:$A$56,$A$45,'2. Билеты по остановкам'!$E$5:$E$56,"билет")</f>
        <v>0</v>
      </c>
      <c r="E46" s="23" t="n">
        <f aca="false">SUMIFS('2. Билеты по остановкам'!$D$5:$D$56,'2. Билеты по остановкам'!$A$5:$A$56,$A$45,'2. Билеты по остановкам'!$E$5:$E$56,"доп")</f>
        <v>0</v>
      </c>
      <c r="F46" s="23" t="n">
        <f aca="false">'1. Настройки'!$B$8</f>
        <v>1.5</v>
      </c>
      <c r="G46" s="23" t="n">
        <f aca="false">(C46+D46+E46+F46)*(1+'1. Настройки'!$B$10/100)</f>
        <v>20.085</v>
      </c>
      <c r="H46" s="23" t="n">
        <f aca="false">G46*B46</f>
        <v>40.17</v>
      </c>
      <c r="I46" s="24" t="n">
        <f aca="false">CEILING(G46*'1. Настройки'!$B$9+1,5)-1</f>
        <v>34</v>
      </c>
      <c r="J46" s="23" t="n">
        <f aca="false">I46-G46</f>
        <v>13.915</v>
      </c>
      <c r="K46" s="23" t="n">
        <f aca="false">J46*B46</f>
        <v>27.83</v>
      </c>
      <c r="L46" s="25" t="n">
        <f aca="false">IFERROR(J46/I46,0)</f>
        <v>0.409264705882353</v>
      </c>
    </row>
    <row r="47" customFormat="false" ht="15" hidden="false" customHeight="false" outlineLevel="0" collapsed="false">
      <c r="A47" s="6"/>
      <c r="B47" s="13" t="n">
        <v>3</v>
      </c>
      <c r="C47" s="23" t="n">
        <f aca="false">('1. Настройки'!$B$6+0*'1. Настройки'!$B$7)/B47</f>
        <v>12</v>
      </c>
      <c r="D47" s="23" t="n">
        <f aca="false">SUMIFS('2. Билеты по остановкам'!$D$5:$D$56,'2. Билеты по остановкам'!$A$5:$A$56,$A$45,'2. Билеты по остановкам'!$E$5:$E$56,"билет")</f>
        <v>0</v>
      </c>
      <c r="E47" s="23" t="n">
        <f aca="false">SUMIFS('2. Билеты по остановкам'!$D$5:$D$56,'2. Билеты по остановкам'!$A$5:$A$56,$A$45,'2. Билеты по остановкам'!$E$5:$E$56,"доп")</f>
        <v>0</v>
      </c>
      <c r="F47" s="23" t="n">
        <f aca="false">'1. Настройки'!$B$8</f>
        <v>1.5</v>
      </c>
      <c r="G47" s="23" t="n">
        <f aca="false">(C47+D47+E47+F47)*(1+'1. Настройки'!$B$10/100)</f>
        <v>13.905</v>
      </c>
      <c r="H47" s="23" t="n">
        <f aca="false">G47*B47</f>
        <v>41.715</v>
      </c>
      <c r="I47" s="24" t="n">
        <f aca="false">CEILING(G47*'1. Настройки'!$B$9+1,5)-1</f>
        <v>24</v>
      </c>
      <c r="J47" s="23" t="n">
        <f aca="false">I47-G47</f>
        <v>10.095</v>
      </c>
      <c r="K47" s="23" t="n">
        <f aca="false">J47*B47</f>
        <v>30.285</v>
      </c>
      <c r="L47" s="25" t="n">
        <f aca="false">IFERROR(J47/I47,0)</f>
        <v>0.420625</v>
      </c>
    </row>
    <row r="48" customFormat="false" ht="15" hidden="false" customHeight="false" outlineLevel="0" collapsed="false">
      <c r="A48" s="26"/>
      <c r="B48" s="27" t="n">
        <v>4</v>
      </c>
      <c r="C48" s="28" t="n">
        <f aca="false">('1. Настройки'!$B$6+0*'1. Настройки'!$B$7)/B48</f>
        <v>9</v>
      </c>
      <c r="D48" s="28" t="n">
        <f aca="false">SUMIFS('2. Билеты по остановкам'!$D$5:$D$56,'2. Билеты по остановкам'!$A$5:$A$56,$A$45,'2. Билеты по остановкам'!$E$5:$E$56,"билет")</f>
        <v>0</v>
      </c>
      <c r="E48" s="28" t="n">
        <f aca="false">SUMIFS('2. Билеты по остановкам'!$D$5:$D$56,'2. Билеты по остановкам'!$A$5:$A$56,$A$45,'2. Билеты по остановкам'!$E$5:$E$56,"доп")</f>
        <v>0</v>
      </c>
      <c r="F48" s="28" t="n">
        <f aca="false">'1. Настройки'!$B$8</f>
        <v>1.5</v>
      </c>
      <c r="G48" s="28" t="n">
        <f aca="false">(C48+D48+E48+F48)*(1+'1. Настройки'!$B$10/100)</f>
        <v>10.815</v>
      </c>
      <c r="H48" s="28" t="n">
        <f aca="false">G48*B48</f>
        <v>43.26</v>
      </c>
      <c r="I48" s="29" t="n">
        <f aca="false">CEILING(G48*'1. Настройки'!$B$9+1,5)-1</f>
        <v>19</v>
      </c>
      <c r="J48" s="28" t="n">
        <f aca="false">I48-G48</f>
        <v>8.185</v>
      </c>
      <c r="K48" s="28" t="n">
        <f aca="false">J48*B48</f>
        <v>32.74</v>
      </c>
      <c r="L48" s="30" t="n">
        <f aca="false">IFERROR(J48/I48,0)</f>
        <v>0.430789473684211</v>
      </c>
    </row>
    <row r="51" customFormat="false" ht="15" hidden="false" customHeight="false" outlineLevel="0" collapsed="false">
      <c r="A51" s="2" t="s">
        <v>89</v>
      </c>
    </row>
    <row r="52" customFormat="false" ht="15" hidden="false" customHeight="false" outlineLevel="0" collapsed="false">
      <c r="A52" s="2" t="s">
        <v>90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10"/>
    <col collapsed="false" customWidth="true" hidden="false" outlineLevel="0" max="4" min="3" style="0" width="12"/>
    <col collapsed="false" customWidth="true" hidden="false" outlineLevel="0" max="5" min="5" style="0" width="11"/>
    <col collapsed="false" customWidth="true" hidden="false" outlineLevel="0" max="7" min="6" style="0" width="10"/>
    <col collapsed="false" customWidth="true" hidden="false" outlineLevel="0" max="8" min="8" style="0" width="16"/>
    <col collapsed="false" customWidth="true" hidden="false" outlineLevel="0" max="9" min="9" style="0" width="40"/>
    <col collapsed="false" customWidth="true" hidden="false" outlineLevel="0" max="10" min="10" style="0" width="58"/>
  </cols>
  <sheetData>
    <row r="1" customFormat="false" ht="17.35" hidden="false" customHeight="false" outlineLevel="0" collapsed="false">
      <c r="A1" s="1" t="s">
        <v>91</v>
      </c>
    </row>
    <row r="2" customFormat="false" ht="15" hidden="false" customHeight="false" outlineLevel="0" collapsed="false">
      <c r="A2" s="2" t="s">
        <v>92</v>
      </c>
    </row>
    <row r="4" customFormat="false" ht="51.75" hidden="false" customHeight="true" outlineLevel="0" collapsed="false">
      <c r="A4" s="10" t="s">
        <v>28</v>
      </c>
      <c r="B4" s="10" t="s">
        <v>93</v>
      </c>
      <c r="C4" s="10" t="s">
        <v>94</v>
      </c>
      <c r="D4" s="10" t="s">
        <v>95</v>
      </c>
      <c r="E4" s="10" t="s">
        <v>96</v>
      </c>
      <c r="F4" s="10" t="s">
        <v>97</v>
      </c>
      <c r="G4" s="10" t="s">
        <v>98</v>
      </c>
      <c r="H4" s="10" t="s">
        <v>99</v>
      </c>
      <c r="I4" s="10" t="s">
        <v>100</v>
      </c>
      <c r="J4" s="10" t="s">
        <v>101</v>
      </c>
    </row>
    <row r="5" customFormat="false" ht="49.5" hidden="false" customHeight="true" outlineLevel="0" collapsed="false">
      <c r="A5" s="4" t="s">
        <v>33</v>
      </c>
      <c r="B5" s="31" t="n">
        <v>70</v>
      </c>
      <c r="C5" s="13" t="s">
        <v>102</v>
      </c>
      <c r="D5" s="32" t="n">
        <f aca="false">'3. Цена на 1-2-3-4 чел'!I8</f>
        <v>69</v>
      </c>
      <c r="E5" s="33" t="n">
        <v>69</v>
      </c>
      <c r="F5" s="31" t="n">
        <f aca="false">'3. Цена на 1-2-3-4 чел'!I6</f>
        <v>84</v>
      </c>
      <c r="G5" s="31" t="n">
        <f aca="false">'3. Цена на 1-2-3-4 чел'!I7</f>
        <v>74</v>
      </c>
      <c r="H5" s="34" t="n">
        <f aca="false">'3. Цена на 1-2-3-4 чел'!K8</f>
        <v>105.2775</v>
      </c>
      <c r="I5" s="35" t="s">
        <v>103</v>
      </c>
      <c r="J5" s="36" t="s">
        <v>104</v>
      </c>
    </row>
    <row r="6" customFormat="false" ht="49.5" hidden="false" customHeight="true" outlineLevel="0" collapsed="false">
      <c r="A6" s="4" t="s">
        <v>47</v>
      </c>
      <c r="B6" s="31" t="n">
        <v>75</v>
      </c>
      <c r="C6" s="13" t="s">
        <v>102</v>
      </c>
      <c r="D6" s="32" t="n">
        <f aca="false">'3. Цена на 1-2-3-4 чел'!I13</f>
        <v>89</v>
      </c>
      <c r="E6" s="33" t="n">
        <v>89</v>
      </c>
      <c r="F6" s="31" t="n">
        <f aca="false">'3. Цена на 1-2-3-4 чел'!I11</f>
        <v>104</v>
      </c>
      <c r="G6" s="31" t="n">
        <f aca="false">'3. Цена на 1-2-3-4 чел'!I12</f>
        <v>94</v>
      </c>
      <c r="H6" s="34" t="n">
        <f aca="false">'3. Цена на 1-2-3-4 чел'!K13</f>
        <v>141.5025</v>
      </c>
      <c r="I6" s="35" t="s">
        <v>105</v>
      </c>
      <c r="J6" s="36" t="s">
        <v>106</v>
      </c>
    </row>
    <row r="7" customFormat="false" ht="49.5" hidden="false" customHeight="true" outlineLevel="0" collapsed="false">
      <c r="A7" s="4" t="s">
        <v>54</v>
      </c>
      <c r="B7" s="31" t="n">
        <v>70</v>
      </c>
      <c r="C7" s="13" t="s">
        <v>102</v>
      </c>
      <c r="D7" s="32" t="n">
        <f aca="false">'3. Цена на 1-2-3-4 чел'!I18</f>
        <v>59</v>
      </c>
      <c r="E7" s="33" t="n">
        <v>69</v>
      </c>
      <c r="F7" s="31" t="n">
        <f aca="false">'3. Цена на 1-2-3-4 чел'!I16</f>
        <v>74</v>
      </c>
      <c r="G7" s="31" t="n">
        <f aca="false">'3. Цена на 1-2-3-4 чел'!I17</f>
        <v>64</v>
      </c>
      <c r="H7" s="34" t="n">
        <f aca="false">'3. Цена на 1-2-3-4 чел'!K18</f>
        <v>97.465</v>
      </c>
      <c r="I7" s="35" t="s">
        <v>107</v>
      </c>
      <c r="J7" s="36" t="s">
        <v>108</v>
      </c>
    </row>
    <row r="8" customFormat="false" ht="49.5" hidden="false" customHeight="true" outlineLevel="0" collapsed="false">
      <c r="A8" s="4" t="s">
        <v>59</v>
      </c>
      <c r="B8" s="31" t="n">
        <v>65</v>
      </c>
      <c r="C8" s="13" t="s">
        <v>109</v>
      </c>
      <c r="D8" s="32" t="n">
        <f aca="false">'3. Цена на 1-2-3-4 чел'!I23</f>
        <v>59</v>
      </c>
      <c r="E8" s="33" t="n">
        <v>59</v>
      </c>
      <c r="F8" s="31" t="n">
        <f aca="false">'3. Цена на 1-2-3-4 чел'!I21</f>
        <v>74</v>
      </c>
      <c r="G8" s="31" t="n">
        <f aca="false">'3. Цена на 1-2-3-4 чел'!I22</f>
        <v>64</v>
      </c>
      <c r="H8" s="34" t="n">
        <f aca="false">'3. Цена на 1-2-3-4 чел'!K23</f>
        <v>94.89</v>
      </c>
      <c r="I8" s="35" t="s">
        <v>110</v>
      </c>
      <c r="J8" s="36" t="s">
        <v>111</v>
      </c>
    </row>
    <row r="9" customFormat="false" ht="49.5" hidden="false" customHeight="true" outlineLevel="0" collapsed="false">
      <c r="A9" s="4" t="s">
        <v>62</v>
      </c>
      <c r="B9" s="31" t="n">
        <v>65</v>
      </c>
      <c r="C9" s="13" t="s">
        <v>109</v>
      </c>
      <c r="D9" s="32" t="n">
        <f aca="false">'3. Цена на 1-2-3-4 чел'!I28</f>
        <v>64</v>
      </c>
      <c r="E9" s="33" t="n">
        <v>69</v>
      </c>
      <c r="F9" s="31" t="n">
        <f aca="false">'3. Цена на 1-2-3-4 чел'!I26</f>
        <v>79</v>
      </c>
      <c r="G9" s="31" t="n">
        <f aca="false">'3. Цена на 1-2-3-4 чел'!I27</f>
        <v>69</v>
      </c>
      <c r="H9" s="34" t="n">
        <f aca="false">'3. Цена на 1-2-3-4 чел'!K28</f>
        <v>100.7275</v>
      </c>
      <c r="I9" s="35" t="s">
        <v>112</v>
      </c>
      <c r="J9" s="36" t="s">
        <v>113</v>
      </c>
    </row>
    <row r="10" customFormat="false" ht="49.5" hidden="false" customHeight="true" outlineLevel="0" collapsed="false">
      <c r="A10" s="4" t="s">
        <v>65</v>
      </c>
      <c r="B10" s="31" t="n">
        <v>65</v>
      </c>
      <c r="C10" s="13" t="s">
        <v>109</v>
      </c>
      <c r="D10" s="32" t="n">
        <f aca="false">'3. Цена на 1-2-3-4 чел'!I33</f>
        <v>69</v>
      </c>
      <c r="E10" s="33" t="n">
        <v>69</v>
      </c>
      <c r="F10" s="31" t="n">
        <f aca="false">'3. Цена на 1-2-3-4 чел'!I31</f>
        <v>84</v>
      </c>
      <c r="G10" s="31" t="n">
        <f aca="false">'3. Цена на 1-2-3-4 чел'!I32</f>
        <v>74</v>
      </c>
      <c r="H10" s="34" t="n">
        <f aca="false">'3. Цена на 1-2-3-4 чел'!K33</f>
        <v>115.5775</v>
      </c>
      <c r="I10" s="35" t="s">
        <v>114</v>
      </c>
      <c r="J10" s="36" t="s">
        <v>115</v>
      </c>
    </row>
    <row r="11" customFormat="false" ht="49.5" hidden="false" customHeight="true" outlineLevel="0" collapsed="false">
      <c r="A11" s="4" t="s">
        <v>67</v>
      </c>
      <c r="B11" s="31" t="n">
        <v>80</v>
      </c>
      <c r="C11" s="13" t="s">
        <v>102</v>
      </c>
      <c r="D11" s="32" t="n">
        <f aca="false">'3. Цена на 1-2-3-4 чел'!I38</f>
        <v>49</v>
      </c>
      <c r="E11" s="33" t="n">
        <v>79</v>
      </c>
      <c r="F11" s="31" t="n">
        <f aca="false">'3. Цена на 1-2-3-4 чел'!I36</f>
        <v>64</v>
      </c>
      <c r="G11" s="31" t="n">
        <f aca="false">'3. Цена на 1-2-3-4 чел'!I37</f>
        <v>54</v>
      </c>
      <c r="H11" s="34" t="n">
        <f aca="false">'3. Цена на 1-2-3-4 чел'!K38</f>
        <v>85.79</v>
      </c>
      <c r="I11" s="35" t="s">
        <v>116</v>
      </c>
      <c r="J11" s="36" t="s">
        <v>117</v>
      </c>
    </row>
    <row r="12" customFormat="false" ht="49.5" hidden="false" customHeight="true" outlineLevel="0" collapsed="false">
      <c r="A12" s="4" t="s">
        <v>71</v>
      </c>
      <c r="B12" s="31" t="n">
        <v>75</v>
      </c>
      <c r="C12" s="13" t="s">
        <v>102</v>
      </c>
      <c r="D12" s="32" t="n">
        <f aca="false">'3. Цена на 1-2-3-4 чел'!I43</f>
        <v>44</v>
      </c>
      <c r="E12" s="33" t="n">
        <v>69</v>
      </c>
      <c r="F12" s="31" t="n">
        <f aca="false">'3. Цена на 1-2-3-4 чел'!I41</f>
        <v>59</v>
      </c>
      <c r="G12" s="31" t="n">
        <f aca="false">'3. Цена на 1-2-3-4 чел'!I42</f>
        <v>49</v>
      </c>
      <c r="H12" s="34" t="n">
        <f aca="false">'3. Цена на 1-2-3-4 чел'!K43</f>
        <v>70.94</v>
      </c>
      <c r="I12" s="35" t="s">
        <v>118</v>
      </c>
      <c r="J12" s="36" t="s">
        <v>119</v>
      </c>
    </row>
    <row r="13" customFormat="false" ht="49.5" hidden="false" customHeight="true" outlineLevel="0" collapsed="false">
      <c r="A13" s="4" t="s">
        <v>72</v>
      </c>
      <c r="B13" s="6" t="s">
        <v>120</v>
      </c>
      <c r="C13" s="13" t="s">
        <v>109</v>
      </c>
      <c r="D13" s="32" t="n">
        <f aca="false">'3. Цена на 1-2-3-4 чел'!I48</f>
        <v>19</v>
      </c>
      <c r="E13" s="33" t="n">
        <v>59</v>
      </c>
      <c r="F13" s="31" t="n">
        <f aca="false">'3. Цена на 1-2-3-4 чел'!I46</f>
        <v>34</v>
      </c>
      <c r="G13" s="31" t="n">
        <f aca="false">'3. Цена на 1-2-3-4 чел'!I47</f>
        <v>24</v>
      </c>
      <c r="H13" s="34" t="n">
        <f aca="false">'3. Цена на 1-2-3-4 чел'!K48</f>
        <v>32.74</v>
      </c>
      <c r="I13" s="35" t="s">
        <v>121</v>
      </c>
      <c r="J13" s="36" t="s">
        <v>122</v>
      </c>
    </row>
    <row r="15" customFormat="false" ht="15" hidden="false" customHeight="false" outlineLevel="0" collapsed="false">
      <c r="A15" s="37" t="s">
        <v>123</v>
      </c>
    </row>
    <row r="16" customFormat="false" ht="15" hidden="false" customHeight="false" outlineLevel="0" collapsed="false">
      <c r="A16" s="2" t="s">
        <v>124</v>
      </c>
    </row>
    <row r="18" customFormat="false" ht="17.35" hidden="false" customHeight="false" outlineLevel="0" collapsed="false">
      <c r="A18" s="1" t="s">
        <v>125</v>
      </c>
    </row>
    <row r="19" customFormat="false" ht="15" hidden="false" customHeight="false" outlineLevel="0" collapsed="false">
      <c r="A19" s="9" t="s">
        <v>126</v>
      </c>
    </row>
    <row r="20" customFormat="false" ht="15" hidden="false" customHeight="false" outlineLevel="0" collapsed="false">
      <c r="A20" s="9"/>
    </row>
    <row r="21" customFormat="false" ht="15" hidden="false" customHeight="false" outlineLevel="0" collapsed="false">
      <c r="A21" s="9" t="s">
        <v>127</v>
      </c>
    </row>
    <row r="22" customFormat="false" ht="15" hidden="false" customHeight="false" outlineLevel="0" collapsed="false">
      <c r="A22" s="9" t="s">
        <v>128</v>
      </c>
    </row>
    <row r="23" customFormat="false" ht="15" hidden="false" customHeight="false" outlineLevel="0" collapsed="false">
      <c r="A23" s="9"/>
    </row>
    <row r="24" customFormat="false" ht="15" hidden="false" customHeight="false" outlineLevel="0" collapsed="false">
      <c r="A24" s="9" t="s">
        <v>129</v>
      </c>
    </row>
    <row r="25" customFormat="false" ht="15" hidden="false" customHeight="false" outlineLevel="0" collapsed="false">
      <c r="A25" s="9" t="s">
        <v>130</v>
      </c>
    </row>
    <row r="26" customFormat="false" ht="15" hidden="false" customHeight="false" outlineLevel="0" collapsed="false">
      <c r="A26" s="9" t="s">
        <v>131</v>
      </c>
    </row>
    <row r="27" customFormat="false" ht="15" hidden="false" customHeight="false" outlineLevel="0" collapsed="false">
      <c r="A27" s="9" t="s">
        <v>132</v>
      </c>
    </row>
    <row r="28" customFormat="false" ht="15" hidden="false" customHeight="false" outlineLevel="0" collapsed="false">
      <c r="A28" s="9"/>
    </row>
    <row r="29" customFormat="false" ht="15" hidden="false" customHeight="false" outlineLevel="0" collapsed="false">
      <c r="A29" s="9" t="s">
        <v>133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14"/>
    <col collapsed="false" customWidth="true" hidden="false" outlineLevel="0" max="5" min="3" style="0" width="12"/>
    <col collapsed="false" customWidth="true" hidden="false" outlineLevel="0" max="6" min="6" style="0" width="24"/>
    <col collapsed="false" customWidth="true" hidden="false" outlineLevel="0" max="7" min="7" style="0" width="18"/>
  </cols>
  <sheetData>
    <row r="1" customFormat="false" ht="17.35" hidden="false" customHeight="false" outlineLevel="0" collapsed="false">
      <c r="A1" s="1" t="s">
        <v>134</v>
      </c>
    </row>
    <row r="2" customFormat="false" ht="15" hidden="false" customHeight="false" outlineLevel="0" collapsed="false">
      <c r="A2" s="2" t="s">
        <v>135</v>
      </c>
    </row>
    <row r="4" customFormat="false" ht="15" hidden="false" customHeight="false" outlineLevel="0" collapsed="false">
      <c r="A4" s="38" t="s">
        <v>136</v>
      </c>
      <c r="B4" s="39" t="n">
        <v>45</v>
      </c>
    </row>
    <row r="6" customFormat="false" ht="43.5" hidden="false" customHeight="true" outlineLevel="0" collapsed="false">
      <c r="A6" s="10" t="s">
        <v>28</v>
      </c>
      <c r="B6" s="10" t="s">
        <v>137</v>
      </c>
      <c r="C6" s="10" t="s">
        <v>138</v>
      </c>
      <c r="D6" s="10" t="s">
        <v>139</v>
      </c>
      <c r="E6" s="10" t="s">
        <v>140</v>
      </c>
      <c r="F6" s="10" t="s">
        <v>141</v>
      </c>
      <c r="G6" s="10" t="s">
        <v>142</v>
      </c>
    </row>
    <row r="7" customFormat="false" ht="15" hidden="false" customHeight="false" outlineLevel="0" collapsed="false">
      <c r="A7" s="4" t="s">
        <v>33</v>
      </c>
      <c r="B7" s="34" t="n">
        <f aca="false">'3. Цена на 1-2-3-4 чел'!G5</f>
        <v>70.490625</v>
      </c>
      <c r="C7" s="34" t="n">
        <f aca="false">'3. Цена на 1-2-3-4 чел'!G6</f>
        <v>51.950625</v>
      </c>
      <c r="D7" s="34" t="n">
        <f aca="false">'3. Цена на 1-2-3-4 чел'!G7</f>
        <v>45.770625</v>
      </c>
      <c r="E7" s="34" t="n">
        <f aca="false">'3. Цена на 1-2-3-4 чел'!G8</f>
        <v>42.680625</v>
      </c>
      <c r="F7" s="40" t="n">
        <f aca="false">('5. Водитель vs поставщик'!$B$4-E7)*4</f>
        <v>9.2775</v>
      </c>
      <c r="G7" s="41" t="str">
        <f aca="false">IF(B7&lt;'5. Водитель vs поставщик'!$B$4,"с 1",IF(C7&lt;'5. Водитель vs поставщик'!$B$4,"с 2",IF(D7&lt;'5. Водитель vs поставщик'!$B$4,"с 3",IF(E7&lt;'5. Водитель vs поставщик'!$B$4,"с 4","никогда"))))</f>
        <v>с 4</v>
      </c>
    </row>
    <row r="8" customFormat="false" ht="15" hidden="false" customHeight="false" outlineLevel="0" collapsed="false">
      <c r="A8" s="4" t="s">
        <v>47</v>
      </c>
      <c r="B8" s="34" t="n">
        <f aca="false">'3. Цена на 1-2-3-4 чел'!G10</f>
        <v>81.434375</v>
      </c>
      <c r="C8" s="34" t="n">
        <f aca="false">'3. Цена на 1-2-3-4 чел'!G11</f>
        <v>62.894375</v>
      </c>
      <c r="D8" s="34" t="n">
        <f aca="false">'3. Цена на 1-2-3-4 чел'!G12</f>
        <v>56.714375</v>
      </c>
      <c r="E8" s="34" t="n">
        <f aca="false">'3. Цена на 1-2-3-4 чел'!G13</f>
        <v>53.624375</v>
      </c>
      <c r="F8" s="40" t="n">
        <f aca="false">('5. Водитель vs поставщик'!$B$4-E8)*4</f>
        <v>-34.4975</v>
      </c>
      <c r="G8" s="41" t="str">
        <f aca="false">IF(B8&lt;'5. Водитель vs поставщик'!$B$4,"с 1",IF(C8&lt;'5. Водитель vs поставщик'!$B$4,"с 2",IF(D8&lt;'5. Водитель vs поставщик'!$B$4,"с 3",IF(E8&lt;'5. Водитель vs поставщик'!$B$4,"с 4","никогда"))))</f>
        <v>никогда</v>
      </c>
    </row>
    <row r="9" customFormat="false" ht="15" hidden="false" customHeight="false" outlineLevel="0" collapsed="false">
      <c r="A9" s="4" t="s">
        <v>54</v>
      </c>
      <c r="B9" s="34" t="n">
        <f aca="false">'3. Цена на 1-2-3-4 чел'!G15</f>
        <v>62.44375</v>
      </c>
      <c r="C9" s="34" t="n">
        <f aca="false">'3. Цена на 1-2-3-4 чел'!G16</f>
        <v>43.90375</v>
      </c>
      <c r="D9" s="34" t="n">
        <f aca="false">'3. Цена на 1-2-3-4 чел'!G17</f>
        <v>37.72375</v>
      </c>
      <c r="E9" s="34" t="n">
        <f aca="false">'3. Цена на 1-2-3-4 чел'!G18</f>
        <v>34.63375</v>
      </c>
      <c r="F9" s="40" t="n">
        <f aca="false">('5. Водитель vs поставщик'!$B$4-E9)*4</f>
        <v>41.465</v>
      </c>
      <c r="G9" s="41" t="str">
        <f aca="false">IF(B9&lt;'5. Водитель vs поставщик'!$B$4,"с 1",IF(C9&lt;'5. Водитель vs поставщик'!$B$4,"с 2",IF(D9&lt;'5. Водитель vs поставщик'!$B$4,"с 3",IF(E9&lt;'5. Водитель vs поставщик'!$B$4,"с 4","никогда"))))</f>
        <v>с 2</v>
      </c>
    </row>
    <row r="10" customFormat="false" ht="15" hidden="false" customHeight="false" outlineLevel="0" collapsed="false">
      <c r="A10" s="4" t="s">
        <v>59</v>
      </c>
      <c r="B10" s="34" t="n">
        <f aca="false">'3. Цена на 1-2-3-4 чел'!G20</f>
        <v>63.0875</v>
      </c>
      <c r="C10" s="34" t="n">
        <f aca="false">'3. Цена на 1-2-3-4 чел'!G21</f>
        <v>44.5475</v>
      </c>
      <c r="D10" s="34" t="n">
        <f aca="false">'3. Цена на 1-2-3-4 чел'!G22</f>
        <v>38.3675</v>
      </c>
      <c r="E10" s="34" t="n">
        <f aca="false">'3. Цена на 1-2-3-4 чел'!G23</f>
        <v>35.2775</v>
      </c>
      <c r="F10" s="40" t="n">
        <f aca="false">('5. Водитель vs поставщик'!$B$4-E10)*4</f>
        <v>38.89</v>
      </c>
      <c r="G10" s="41" t="str">
        <f aca="false">IF(B10&lt;'5. Водитель vs поставщик'!$B$4,"с 1",IF(C10&lt;'5. Водитель vs поставщик'!$B$4,"с 2",IF(D10&lt;'5. Водитель vs поставщик'!$B$4,"с 3",IF(E10&lt;'5. Водитель vs поставщик'!$B$4,"с 4","никогда"))))</f>
        <v>с 2</v>
      </c>
    </row>
    <row r="11" customFormat="false" ht="15" hidden="false" customHeight="false" outlineLevel="0" collapsed="false">
      <c r="A11" s="4" t="s">
        <v>62</v>
      </c>
      <c r="B11" s="34" t="n">
        <f aca="false">'3. Цена на 1-2-3-4 чел'!G25</f>
        <v>66.628125</v>
      </c>
      <c r="C11" s="34" t="n">
        <f aca="false">'3. Цена на 1-2-3-4 чел'!G26</f>
        <v>48.088125</v>
      </c>
      <c r="D11" s="34" t="n">
        <f aca="false">'3. Цена на 1-2-3-4 чел'!G27</f>
        <v>41.908125</v>
      </c>
      <c r="E11" s="34" t="n">
        <f aca="false">'3. Цена на 1-2-3-4 чел'!G28</f>
        <v>38.818125</v>
      </c>
      <c r="F11" s="40" t="n">
        <f aca="false">('5. Водитель vs поставщик'!$B$4-E11)*4</f>
        <v>24.7275</v>
      </c>
      <c r="G11" s="41" t="str">
        <f aca="false">IF(B11&lt;'5. Водитель vs поставщик'!$B$4,"с 1",IF(C11&lt;'5. Водитель vs поставщик'!$B$4,"с 2",IF(D11&lt;'5. Водитель vs поставщик'!$B$4,"с 3",IF(E11&lt;'5. Водитель vs поставщик'!$B$4,"с 4","никогда"))))</f>
        <v>с 3</v>
      </c>
    </row>
    <row r="12" customFormat="false" ht="15" hidden="false" customHeight="false" outlineLevel="0" collapsed="false">
      <c r="A12" s="4" t="s">
        <v>65</v>
      </c>
      <c r="B12" s="34" t="n">
        <f aca="false">'3. Цена на 1-2-3-4 чел'!G30</f>
        <v>75.640625</v>
      </c>
      <c r="C12" s="34" t="n">
        <f aca="false">'3. Цена на 1-2-3-4 чел'!G31</f>
        <v>51.950625</v>
      </c>
      <c r="D12" s="34" t="n">
        <f aca="false">'3. Цена на 1-2-3-4 чел'!G32</f>
        <v>44.0539583333333</v>
      </c>
      <c r="E12" s="34" t="n">
        <f aca="false">'3. Цена на 1-2-3-4 чел'!G33</f>
        <v>40.105625</v>
      </c>
      <c r="F12" s="40" t="n">
        <f aca="false">('5. Водитель vs поставщик'!$B$4-E12)*4</f>
        <v>19.5775</v>
      </c>
      <c r="G12" s="41" t="str">
        <f aca="false">IF(B12&lt;'5. Водитель vs поставщик'!$B$4,"с 1",IF(C12&lt;'5. Водитель vs поставщик'!$B$4,"с 2",IF(D12&lt;'5. Водитель vs поставщик'!$B$4,"с 3",IF(E12&lt;'5. Водитель vs поставщик'!$B$4,"с 4","никогда"))))</f>
        <v>с 3</v>
      </c>
    </row>
    <row r="13" customFormat="false" ht="15" hidden="false" customHeight="false" outlineLevel="0" collapsed="false">
      <c r="A13" s="4" t="s">
        <v>67</v>
      </c>
      <c r="B13" s="34" t="n">
        <f aca="false">'3. Цена на 1-2-3-4 чел'!G35</f>
        <v>63.0875</v>
      </c>
      <c r="C13" s="34" t="n">
        <f aca="false">'3. Цена на 1-2-3-4 чел'!G36</f>
        <v>39.3975</v>
      </c>
      <c r="D13" s="34" t="n">
        <f aca="false">'3. Цена на 1-2-3-4 чел'!G37</f>
        <v>31.5008333333333</v>
      </c>
      <c r="E13" s="34" t="n">
        <f aca="false">'3. Цена на 1-2-3-4 чел'!G38</f>
        <v>27.5525</v>
      </c>
      <c r="F13" s="40" t="n">
        <f aca="false">('5. Водитель vs поставщик'!$B$4-E13)*4</f>
        <v>69.79</v>
      </c>
      <c r="G13" s="41" t="str">
        <f aca="false">IF(B13&lt;'5. Водитель vs поставщик'!$B$4,"с 1",IF(C13&lt;'5. Водитель vs поставщик'!$B$4,"с 2",IF(D13&lt;'5. Водитель vs поставщик'!$B$4,"с 3",IF(E13&lt;'5. Водитель vs поставщик'!$B$4,"с 4","никогда"))))</f>
        <v>с 2</v>
      </c>
    </row>
    <row r="14" customFormat="false" ht="15" hidden="false" customHeight="false" outlineLevel="0" collapsed="false">
      <c r="A14" s="4" t="s">
        <v>71</v>
      </c>
      <c r="B14" s="34" t="n">
        <f aca="false">'3. Цена на 1-2-3-4 чел'!G40</f>
        <v>54.075</v>
      </c>
      <c r="C14" s="34" t="n">
        <f aca="false">'3. Цена на 1-2-3-4 чел'!G41</f>
        <v>35.535</v>
      </c>
      <c r="D14" s="34" t="n">
        <f aca="false">'3. Цена на 1-2-3-4 чел'!G42</f>
        <v>29.355</v>
      </c>
      <c r="E14" s="34" t="n">
        <f aca="false">'3. Цена на 1-2-3-4 чел'!G43</f>
        <v>26.265</v>
      </c>
      <c r="F14" s="40" t="n">
        <f aca="false">('5. Водитель vs поставщик'!$B$4-E14)*4</f>
        <v>74.94</v>
      </c>
      <c r="G14" s="41" t="str">
        <f aca="false">IF(B14&lt;'5. Водитель vs поставщик'!$B$4,"с 1",IF(C14&lt;'5. Водитель vs поставщик'!$B$4,"с 2",IF(D14&lt;'5. Водитель vs поставщик'!$B$4,"с 3",IF(E14&lt;'5. Водитель vs поставщик'!$B$4,"с 4","никогда"))))</f>
        <v>с 2</v>
      </c>
    </row>
    <row r="16" customFormat="false" ht="17.35" hidden="false" customHeight="false" outlineLevel="0" collapsed="false">
      <c r="A16" s="1" t="s">
        <v>143</v>
      </c>
    </row>
    <row r="17" customFormat="false" ht="15" hidden="false" customHeight="false" outlineLevel="0" collapsed="false">
      <c r="A17" s="9" t="s">
        <v>144</v>
      </c>
    </row>
    <row r="18" customFormat="false" ht="15" hidden="false" customHeight="false" outlineLevel="0" collapsed="false">
      <c r="A18" s="9" t="s">
        <v>145</v>
      </c>
    </row>
    <row r="19" customFormat="false" ht="15" hidden="false" customHeight="false" outlineLevel="0" collapsed="false">
      <c r="A19" s="9"/>
    </row>
    <row r="20" customFormat="false" ht="15" hidden="false" customHeight="false" outlineLevel="0" collapsed="false">
      <c r="A20" s="9" t="s">
        <v>146</v>
      </c>
    </row>
    <row r="21" customFormat="false" ht="15" hidden="false" customHeight="false" outlineLevel="0" collapsed="false">
      <c r="A21" s="9" t="s">
        <v>147</v>
      </c>
    </row>
    <row r="22" customFormat="false" ht="15" hidden="false" customHeight="false" outlineLevel="0" collapsed="false">
      <c r="A22" s="9" t="s">
        <v>148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62"/>
    <col collapsed="false" customWidth="true" hidden="false" outlineLevel="0" max="3" min="3" style="0" width="46"/>
  </cols>
  <sheetData>
    <row r="1" customFormat="false" ht="17.35" hidden="false" customHeight="false" outlineLevel="0" collapsed="false">
      <c r="A1" s="1" t="s">
        <v>149</v>
      </c>
    </row>
    <row r="3" customFormat="false" ht="15" hidden="false" customHeight="false" outlineLevel="0" collapsed="false">
      <c r="A3" s="3" t="s">
        <v>150</v>
      </c>
      <c r="B3" s="3" t="s">
        <v>151</v>
      </c>
      <c r="C3" s="3" t="s">
        <v>152</v>
      </c>
    </row>
    <row r="4" customFormat="false" ht="33.75" hidden="false" customHeight="true" outlineLevel="0" collapsed="false">
      <c r="A4" s="35" t="s">
        <v>153</v>
      </c>
      <c r="B4" s="36" t="s">
        <v>154</v>
      </c>
      <c r="C4" s="36" t="s">
        <v>155</v>
      </c>
    </row>
    <row r="5" customFormat="false" ht="33.75" hidden="false" customHeight="true" outlineLevel="0" collapsed="false">
      <c r="A5" s="35" t="s">
        <v>156</v>
      </c>
      <c r="B5" s="36" t="s">
        <v>157</v>
      </c>
      <c r="C5" s="36" t="s">
        <v>158</v>
      </c>
    </row>
    <row r="6" customFormat="false" ht="33.75" hidden="false" customHeight="true" outlineLevel="0" collapsed="false">
      <c r="A6" s="35" t="s">
        <v>159</v>
      </c>
      <c r="B6" s="36" t="s">
        <v>160</v>
      </c>
      <c r="C6" s="36" t="s">
        <v>161</v>
      </c>
    </row>
    <row r="7" customFormat="false" ht="33.75" hidden="false" customHeight="true" outlineLevel="0" collapsed="false">
      <c r="A7" s="35" t="s">
        <v>162</v>
      </c>
      <c r="B7" s="36" t="s">
        <v>163</v>
      </c>
      <c r="C7" s="36" t="s">
        <v>164</v>
      </c>
    </row>
    <row r="8" customFormat="false" ht="33.75" hidden="false" customHeight="true" outlineLevel="0" collapsed="false">
      <c r="A8" s="35" t="s">
        <v>165</v>
      </c>
      <c r="B8" s="36" t="s">
        <v>166</v>
      </c>
      <c r="C8" s="36" t="s">
        <v>167</v>
      </c>
    </row>
    <row r="9" customFormat="false" ht="33.75" hidden="false" customHeight="true" outlineLevel="0" collapsed="false">
      <c r="A9" s="35" t="s">
        <v>168</v>
      </c>
      <c r="B9" s="36" t="s">
        <v>169</v>
      </c>
      <c r="C9" s="36" t="s">
        <v>170</v>
      </c>
    </row>
    <row r="10" customFormat="false" ht="33.75" hidden="false" customHeight="true" outlineLevel="0" collapsed="false">
      <c r="A10" s="35" t="s">
        <v>171</v>
      </c>
      <c r="B10" s="36" t="s">
        <v>172</v>
      </c>
      <c r="C10" s="36" t="s">
        <v>173</v>
      </c>
    </row>
    <row r="11" customFormat="false" ht="33.75" hidden="false" customHeight="true" outlineLevel="0" collapsed="false">
      <c r="A11" s="35" t="s">
        <v>174</v>
      </c>
      <c r="B11" s="36" t="s">
        <v>175</v>
      </c>
      <c r="C11" s="36" t="s">
        <v>176</v>
      </c>
    </row>
    <row r="12" customFormat="false" ht="33.75" hidden="false" customHeight="true" outlineLevel="0" collapsed="false">
      <c r="A12" s="35" t="s">
        <v>177</v>
      </c>
      <c r="B12" s="36" t="s">
        <v>178</v>
      </c>
      <c r="C12" s="36" t="s">
        <v>179</v>
      </c>
    </row>
    <row r="13" customFormat="false" ht="33.75" hidden="false" customHeight="true" outlineLevel="0" collapsed="false">
      <c r="A13" s="35" t="s">
        <v>180</v>
      </c>
      <c r="B13" s="36" t="s">
        <v>181</v>
      </c>
      <c r="C13" s="36" t="s">
        <v>182</v>
      </c>
    </row>
    <row r="14" customFormat="false" ht="33.75" hidden="false" customHeight="true" outlineLevel="0" collapsed="false">
      <c r="A14" s="35" t="s">
        <v>183</v>
      </c>
      <c r="B14" s="36" t="s">
        <v>184</v>
      </c>
      <c r="C14" s="36" t="s">
        <v>120</v>
      </c>
    </row>
    <row r="16" customFormat="false" ht="17.35" hidden="false" customHeight="false" outlineLevel="0" collapsed="false">
      <c r="A16" s="1" t="s">
        <v>185</v>
      </c>
    </row>
    <row r="17" customFormat="false" ht="15" hidden="false" customHeight="false" outlineLevel="0" collapsed="false">
      <c r="A17" s="9" t="s">
        <v>186</v>
      </c>
    </row>
    <row r="18" customFormat="false" ht="15" hidden="false" customHeight="false" outlineLevel="0" collapsed="false">
      <c r="A18" s="9" t="s">
        <v>187</v>
      </c>
    </row>
    <row r="19" customFormat="false" ht="15" hidden="false" customHeight="false" outlineLevel="0" collapsed="false">
      <c r="A19" s="9" t="s">
        <v>188</v>
      </c>
    </row>
    <row r="20" customFormat="false" ht="15" hidden="false" customHeight="false" outlineLevel="0" collapsed="false">
      <c r="A20" s="9" t="s">
        <v>189</v>
      </c>
    </row>
    <row r="21" customFormat="false" ht="15" hidden="false" customHeight="false" outlineLevel="0" collapsed="false">
      <c r="A21" s="9" t="s">
        <v>190</v>
      </c>
    </row>
    <row r="22" customFormat="false" ht="15" hidden="false" customHeight="false" outlineLevel="0" collapsed="false">
      <c r="A22" s="9" t="s">
        <v>191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2026-08-04T19:11:34Z</dcterms:created>
  <dc:creator>openpyxl</dc:creator>
  <dc:description/>
  <dc:language>en-US</dc:language>
  <cp:lastModifiedBy/>
  <dcterms:modified xsi:type="dcterms:W3CDTF">2026-08-04T19:11:35Z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