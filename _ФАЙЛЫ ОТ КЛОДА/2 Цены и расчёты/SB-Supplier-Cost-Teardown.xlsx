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st Teardown" sheetId="1" state="visible" r:id="rId3"/>
    <sheet name="Component Cos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<sst xmlns="http://schemas.openxmlformats.org/spreadsheetml/2006/main" count="191" uniqueCount="134">
  <si>
    <t xml:space="preserve">SB — Supplier Cost Teardown &amp; Negotiation Targets</t>
  </si>
  <si>
    <t xml:space="preserve">What each tour really costs the operator vs. what you pay. Est. costs from live 2026 Bali market rates (see 'Component Costs' tab). FX ≈ 16,300 IDR/$; AUD 1≈$0.65.</t>
  </si>
  <si>
    <t xml:space="preserve">Excursion</t>
  </si>
  <si>
    <t xml:space="preserve">Category</t>
  </si>
  <si>
    <t xml:space="preserve">You pay
(wholesale $)</t>
  </si>
  <si>
    <t xml:space="preserve">Priced
per</t>
  </si>
  <si>
    <t xml:space="preserve">Est. real floor
cost ($, same basis)</t>
  </si>
  <si>
    <t xml:space="preserve">Fair wholesale
target ($)</t>
  </si>
  <si>
    <t xml:space="preserve">Overpay vs
target ($)</t>
  </si>
  <si>
    <t xml:space="preserve">Verdict</t>
  </si>
  <si>
    <t xml:space="preserve">Negotiation note / why</t>
  </si>
  <si>
    <t xml:space="preserve">target#</t>
  </si>
  <si>
    <t xml:space="preserve">Mount Batur Sunrise Jeep</t>
  </si>
  <si>
    <t xml:space="preserve">Adventure</t>
  </si>
  <si>
    <t xml:space="preserve">person</t>
  </si>
  <si>
    <t xml:space="preserve">22</t>
  </si>
  <si>
    <t xml:space="preserve">24–28</t>
  </si>
  <si>
    <t xml:space="preserve">OVERPAY</t>
  </si>
  <si>
    <t xml:space="preserve">Local jeep operators sell ALL-IN (pickup+breakfast+hot spring) at IDR 350k ≈ $22 direct. You pay a $14 middleman. Go direct → margin on your $80 jumps from $44 to ~$56.</t>
  </si>
  <si>
    <t xml:space="preserve">Private Mount Batur Sunrise</t>
  </si>
  <si>
    <t xml:space="preserve">Same as above — a jeep is a jeep. Direct operator ≈ $22–26.</t>
  </si>
  <si>
    <t xml:space="preserve">Ubud Highlights Tour</t>
  </si>
  <si>
    <t xml:space="preserve">City (car)</t>
  </si>
  <si>
    <t xml:space="preserve">30</t>
  </si>
  <si>
    <t xml:space="preserve">28–32 pp
or $60/car</t>
  </si>
  <si>
    <t xml:space="preserve">This is a car+driver day ($45/car incl fuel) + entrance fees. Charged per-person it doubles on a couple. Buy PER CAR: ~$60 all-in for up to 4, fees included.</t>
  </si>
  <si>
    <t xml:space="preserve">East Bali Instagram Tour</t>
  </si>
  <si>
    <t xml:space="preserve">Same structure. Insist on per-car pricing and confirm entrance tickets are included.</t>
  </si>
  <si>
    <t xml:space="preserve">Tanah Lot &amp; Bedugul Tour</t>
  </si>
  <si>
    <t xml:space="preserve">32</t>
  </si>
  <si>
    <t xml:space="preserve">30–34 pp
or $62/car</t>
  </si>
  <si>
    <t xml:space="preserve">Long 9–11h day, more fuel + several temple fees. Per-car ~$62 all-in is fair.</t>
  </si>
  <si>
    <t xml:space="preserve">Bali Instagram Highlights</t>
  </si>
  <si>
    <t xml:space="preserve">Car day + fees. Per-car pricing kills the per-head markup.</t>
  </si>
  <si>
    <t xml:space="preserve">North Bali &amp; Lovina Dolphins</t>
  </si>
  <si>
    <t xml:space="preserve">City/Water</t>
  </si>
  <si>
    <t xml:space="preserve">44</t>
  </si>
  <si>
    <t xml:space="preserve">40–44</t>
  </si>
  <si>
    <t xml:space="preserve">FAIR</t>
  </si>
  <si>
    <t xml:space="preserve">Long 3am run to the far north + dolphin boat + waterfall fee. ~$44/pp real for 2. This one is close to fair — leave it or trim to $40.</t>
  </si>
  <si>
    <t xml:space="preserve">Nusa Penida West Tour</t>
  </si>
  <si>
    <t xml:space="preserve">Nusa Penida</t>
  </si>
  <si>
    <t xml:space="preserve">32–36</t>
  </si>
  <si>
    <t xml:space="preserve">GOOD</t>
  </si>
  <si>
    <t xml:space="preserve">At $32 you're UNDER real cost for 2 pax (boat ~$20pp + island car + fee). Only good if the fast boat IS included — confirm that. If yes, keep it.</t>
  </si>
  <si>
    <t xml:space="preserve">Nusa Penida East Tour</t>
  </si>
  <si>
    <t xml:space="preserve">Same as West. Confirm boat + island car + retribution are all in the $32. If so, it's a strong price.</t>
  </si>
  <si>
    <t xml:space="preserve">Nusa Penida Full Day</t>
  </si>
  <si>
    <t xml:space="preserve">46</t>
  </si>
  <si>
    <t xml:space="preserve">34–38</t>
  </si>
  <si>
    <t xml:space="preserve">More stops, same components. $32 all-in is good; don't burn negotiation capital here.</t>
  </si>
  <si>
    <t xml:space="preserve">Nusa Penida Snorkeling + Manta</t>
  </si>
  <si>
    <t xml:space="preserve">Water</t>
  </si>
  <si>
    <t xml:space="preserve">15</t>
  </si>
  <si>
    <t xml:space="preserve">15–18</t>
  </si>
  <si>
    <t xml:space="preserve">Shared 3-spot snorkel boat + gear ≈ $12–18pp. $16 is fair. Keep.</t>
  </si>
  <si>
    <t xml:space="preserve">ATV Ride Adventure</t>
  </si>
  <si>
    <t xml:space="preserve">18–20</t>
  </si>
  <si>
    <t xml:space="preserve">Market ATV (gear+lunch+insurance) is $20–28pp. Your $18 is already below floor — great. Raise your RETAIL ($25→$35–40).</t>
  </si>
  <si>
    <t xml:space="preserve">Private Car with Driver</t>
  </si>
  <si>
    <t xml:space="preserve">Transport</t>
  </si>
  <si>
    <t xml:space="preserve">car/day</t>
  </si>
  <si>
    <t xml:space="preserve">45</t>
  </si>
  <si>
    <t xml:space="preserve">32–38</t>
  </si>
  <si>
    <t xml:space="preserve">$40–58/day is the market for car+driver+fuel. Your $32/day is CHEAP. (If anyone quotes $50 'per person' — that's the scam: it's PER CAR.)</t>
  </si>
  <si>
    <t xml:space="preserve">Airport Transfer</t>
  </si>
  <si>
    <t xml:space="preserve">car</t>
  </si>
  <si>
    <t xml:space="preserve">12–15</t>
  </si>
  <si>
    <t xml:space="preserve">Seminyak private transfer $11–23/car. $13 is fine. Keep; retail $25 is market.</t>
  </si>
  <si>
    <t xml:space="preserve">Sumbawa Whale Shark Trip</t>
  </si>
  <si>
    <t xml:space="preserve">Islands/Water</t>
  </si>
  <si>
    <t xml:space="preserve">85</t>
  </si>
  <si>
    <t xml:space="preserve">85–90</t>
  </si>
  <si>
    <t xml:space="preserve">Far expedition (transport+boat+permits+guide). Little room to compress. Fair; low volume anyway.</t>
  </si>
  <si>
    <t xml:space="preserve">Verified Bali cost building-blocks (2026)</t>
  </si>
  <si>
    <t xml:space="preserve">Every tour is built from these. Use them to sanity-check any supplier quote. Prices are operator/market floors, not tourist retail.</t>
  </si>
  <si>
    <t xml:space="preserve">Building block</t>
  </si>
  <si>
    <t xml:space="preserve">Local price</t>
  </si>
  <si>
    <t xml:space="preserve">≈ USD</t>
  </si>
  <si>
    <t xml:space="preserve">Charged per</t>
  </si>
  <si>
    <t xml:space="preserve">What's included / note</t>
  </si>
  <si>
    <t xml:space="preserve">Source</t>
  </si>
  <si>
    <t xml:space="preserve">Car + driver + fuel, full day 8–10h</t>
  </si>
  <si>
    <t xml:space="preserve">AUD 60–90</t>
  </si>
  <si>
    <t xml:space="preserve">$40–58</t>
  </si>
  <si>
    <t xml:space="preserve">car (≤4–6 pax)</t>
  </si>
  <si>
    <t xml:space="preserve">Fuel, parking, driver lunch, A/C, water all included. Per vehicle, NOT per person.</t>
  </si>
  <si>
    <t xml:space="preserve">balifamilytravels</t>
  </si>
  <si>
    <t xml:space="preserve">Airport transfer → Seminyak (Grab)</t>
  </si>
  <si>
    <t xml:space="preserve">IDR 170–240k</t>
  </si>
  <si>
    <t xml:space="preserve">$11–16</t>
  </si>
  <si>
    <t xml:space="preserve">Prepaid taxi counter ~$17–23.</t>
  </si>
  <si>
    <t xml:space="preserve">Airport transfer → Ubud</t>
  </si>
  <si>
    <t xml:space="preserve">IDR 280–650k</t>
  </si>
  <si>
    <t xml:space="preserve">$19–43</t>
  </si>
  <si>
    <t xml:space="preserve">Grab cheaper end; private meet&amp;greet higher.</t>
  </si>
  <si>
    <t xml:space="preserve">Nusa Penida island car + driver 10h</t>
  </si>
  <si>
    <t xml:space="preserve">AUD 130</t>
  </si>
  <si>
    <t xml:space="preserve">$78</t>
  </si>
  <si>
    <t xml:space="preserve">car (≤6 pax)</t>
  </si>
  <si>
    <t xml:space="preserve">Excl. ferry, entrance fees, meals. Budget cars ~$45–50.</t>
  </si>
  <si>
    <t xml:space="preserve">baliholidaysecrets</t>
  </si>
  <si>
    <t xml:space="preserve">Fast boat Sanur ⇄ Nusa Penida</t>
  </si>
  <si>
    <t xml:space="preserve">IDR 150k each way</t>
  </si>
  <si>
    <t xml:space="preserve">$9 ow / $18–25 rt</t>
  </si>
  <si>
    <t xml:space="preserve">Public rate; some operators bundle higher.</t>
  </si>
  <si>
    <t xml:space="preserve">nusapenida.org</t>
  </si>
  <si>
    <t xml:space="preserve">Nusa Penida retribution / entry fee</t>
  </si>
  <si>
    <t xml:space="preserve">IDR 25k</t>
  </si>
  <si>
    <t xml:space="preserve">$1.5</t>
  </si>
  <si>
    <t xml:space="preserve">Mandatory e-ticket, once per visit. (Separate from IDR 150k Bali tourism tax.)</t>
  </si>
  <si>
    <t xml:space="preserve">nagikubalitour</t>
  </si>
  <si>
    <t xml:space="preserve">Mount Batur sunrise jeep (all-in)</t>
  </si>
  <si>
    <t xml:space="preserve">IDR 350k</t>
  </si>
  <si>
    <t xml:space="preserve">$22</t>
  </si>
  <si>
    <t xml:space="preserve">Pickup + breakfast + hot spring included, direct operator.</t>
  </si>
  <si>
    <t xml:space="preserve">mountbaturjeep</t>
  </si>
  <si>
    <t xml:space="preserve">ATV Ubud — single</t>
  </si>
  <si>
    <t xml:space="preserve">IDR 400–600k</t>
  </si>
  <si>
    <t xml:space="preserve">$25–37</t>
  </si>
  <si>
    <t xml:space="preserve">Helmet, boots, insurance, lunch, showers.</t>
  </si>
  <si>
    <t xml:space="preserve">baliquadbiking</t>
  </si>
  <si>
    <t xml:space="preserve">ATV Ubud — tandem (2 share)</t>
  </si>
  <si>
    <t xml:space="preserve">IDR 650–900k</t>
  </si>
  <si>
    <t xml:space="preserve">$20–28</t>
  </si>
  <si>
    <t xml:space="preserve">Same inclusions, 2 riders share one quad.</t>
  </si>
  <si>
    <t xml:space="preserve">Ayung white-water rafting</t>
  </si>
  <si>
    <t xml:space="preserve">from IDR 350k</t>
  </si>
  <si>
    <t xml:space="preserve">Gear + guide + lunch typically included.</t>
  </si>
  <si>
    <t xml:space="preserve">baliparaglidingtours</t>
  </si>
  <si>
    <t xml:space="preserve">Temple / waterfall entrance</t>
  </si>
  <si>
    <t xml:space="preserve">IDR 30–75k</t>
  </si>
  <si>
    <t xml:space="preserve">$2–5</t>
  </si>
  <si>
    <t xml:space="preserve">Per site; a multi-stop day totals ~$8–18 pp.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</si>
</sst>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;;\–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0F262E"/>
      <name val="Arial"/>
      <family val="0"/>
      <charset val="1"/>
    </font>
    <font>
      <i val="true"/>
      <sz val="9"/>
      <color rgb="FF5D6F7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8"/>
      <color rgb="FFAAAAAA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B23A2E"/>
      <name val="Arial"/>
      <family val="0"/>
      <charset val="1"/>
    </font>
    <font>
      <b val="true"/>
      <sz val="11"/>
      <color rgb="FFB26A00"/>
      <name val="Arial"/>
      <family val="0"/>
      <charset val="1"/>
    </font>
    <font>
      <b val="true"/>
      <sz val="11"/>
      <color rgb="FF1E8E5A"/>
      <name val="Arial"/>
      <family val="0"/>
      <charset val="1"/>
    </font>
    <font>
      <b val="true"/>
      <sz val="13"/>
      <color rgb="FF0F262E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D5A63"/>
        <bgColor rgb="FF008080"/>
      </patternFill>
    </fill>
    <fill>
      <patternFill patternType="solid">
        <fgColor rgb="FFFBE4E0"/>
        <bgColor rgb="FFFBF1DC"/>
      </patternFill>
    </fill>
    <fill>
      <patternFill patternType="solid">
        <fgColor rgb="FFF2F7F7"/>
        <bgColor rgb="FFE3F4EA"/>
      </patternFill>
    </fill>
    <fill>
      <patternFill patternType="solid">
        <fgColor rgb="FFFBF1DC"/>
        <bgColor rgb="FFFBE4E0"/>
      </patternFill>
    </fill>
    <fill>
      <patternFill patternType="solid">
        <fgColor rgb="FFE3F4EA"/>
        <bgColor rgb="FFF2F7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E2E4"/>
      </left>
      <right style="thin">
        <color rgb="FFD5E2E4"/>
      </right>
      <top style="thin">
        <color rgb="FFD5E2E4"/>
      </top>
      <bottom style="thin">
        <color rgb="FFD5E2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26A00"/>
      <rgbColor rgb="FF800080"/>
      <rgbColor rgb="FF008080"/>
      <rgbColor rgb="FFC0C0C0"/>
      <rgbColor rgb="FF808080"/>
      <rgbColor rgb="FF9999FF"/>
      <rgbColor rgb="FF993366"/>
      <rgbColor rgb="FFFBF1DC"/>
      <rgbColor rgb="FFE3F4EA"/>
      <rgbColor rgb="FF660066"/>
      <rgbColor rgb="FFFF8080"/>
      <rgbColor rgb="FF0066CC"/>
      <rgbColor rgb="FFD5E2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7F7"/>
      <rgbColor rgb="FFCCFFCC"/>
      <rgbColor rgb="FFFFFF99"/>
      <rgbColor rgb="FF99CCFF"/>
      <rgbColor rgb="FFFF99CC"/>
      <rgbColor rgb="FFCC99FF"/>
      <rgbColor rgb="FFFBE4E0"/>
      <rgbColor rgb="FF3366FF"/>
      <rgbColor rgb="FF33CCCC"/>
      <rgbColor rgb="FF99CC00"/>
      <rgbColor rgb="FFFFCC00"/>
      <rgbColor rgb="FFFF9900"/>
      <rgbColor rgb="FFFF6600"/>
      <rgbColor rgb="FF5D6F78"/>
      <rgbColor rgb="FFAAAAAA"/>
      <rgbColor rgb="FF0D5A63"/>
      <rgbColor rgb="FF1E8E5A"/>
      <rgbColor rgb="FF0F262E"/>
      <rgbColor rgb="FF333300"/>
      <rgbColor rgb="FFB23A2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3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5" min="5" style="0" width="15"/>
    <col collapsed="false" customWidth="true" hidden="false" outlineLevel="0" max="6" min="6" style="0" width="14"/>
    <col collapsed="false" customWidth="true" hidden="false" outlineLevel="0" max="8" min="7" style="0" width="11"/>
    <col collapsed="false" customWidth="true" hidden="false" outlineLevel="0" max="9" min="9" style="0" width="52"/>
    <col collapsed="false" customWidth="true" hidden="true" outlineLevel="0" max="11" min="11" style="0" width="13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2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K4" s="4" t="s">
        <v>11</v>
      </c>
    </row>
    <row r="5" customFormat="false" ht="52.2" hidden="false" customHeight="false" outlineLevel="0" collapsed="false">
      <c r="A5" s="5" t="s">
        <v>12</v>
      </c>
      <c r="B5" s="6" t="s">
        <v>13</v>
      </c>
      <c r="C5" s="7" t="n">
        <v>36</v>
      </c>
      <c r="D5" s="7" t="s">
        <v>14</v>
      </c>
      <c r="E5" s="7" t="s">
        <v>15</v>
      </c>
      <c r="F5" s="8" t="s">
        <v>16</v>
      </c>
      <c r="G5" s="9" t="n">
        <f aca="false">MAX(0,C5-K5)</f>
        <v>12</v>
      </c>
      <c r="H5" s="10" t="s">
        <v>17</v>
      </c>
      <c r="I5" s="11" t="s">
        <v>18</v>
      </c>
      <c r="K5" s="4" t="n">
        <v>24</v>
      </c>
    </row>
    <row r="6" customFormat="false" ht="26.85" hidden="false" customHeight="false" outlineLevel="0" collapsed="false">
      <c r="A6" s="12" t="s">
        <v>19</v>
      </c>
      <c r="B6" s="13" t="s">
        <v>13</v>
      </c>
      <c r="C6" s="14" t="n">
        <v>33</v>
      </c>
      <c r="D6" s="14" t="s">
        <v>14</v>
      </c>
      <c r="E6" s="14" t="s">
        <v>15</v>
      </c>
      <c r="F6" s="15" t="s">
        <v>16</v>
      </c>
      <c r="G6" s="16" t="n">
        <f aca="false">MAX(0,C6-K6)</f>
        <v>9</v>
      </c>
      <c r="H6" s="10" t="s">
        <v>17</v>
      </c>
      <c r="I6" s="17" t="s">
        <v>20</v>
      </c>
      <c r="K6" s="4" t="n">
        <v>24</v>
      </c>
    </row>
    <row r="7" customFormat="false" ht="39.55" hidden="false" customHeight="false" outlineLevel="0" collapsed="false">
      <c r="A7" s="5" t="s">
        <v>21</v>
      </c>
      <c r="B7" s="6" t="s">
        <v>22</v>
      </c>
      <c r="C7" s="7" t="n">
        <v>45</v>
      </c>
      <c r="D7" s="7" t="s">
        <v>14</v>
      </c>
      <c r="E7" s="7" t="s">
        <v>23</v>
      </c>
      <c r="F7" s="8" t="s">
        <v>24</v>
      </c>
      <c r="G7" s="9" t="n">
        <f aca="false">MAX(0,C7-K7)</f>
        <v>16</v>
      </c>
      <c r="H7" s="10" t="s">
        <v>17</v>
      </c>
      <c r="I7" s="11" t="s">
        <v>25</v>
      </c>
      <c r="K7" s="4" t="n">
        <v>29</v>
      </c>
    </row>
    <row r="8" customFormat="false" ht="26.85" hidden="false" customHeight="false" outlineLevel="0" collapsed="false">
      <c r="A8" s="12" t="s">
        <v>26</v>
      </c>
      <c r="B8" s="13" t="s">
        <v>22</v>
      </c>
      <c r="C8" s="14" t="n">
        <v>45</v>
      </c>
      <c r="D8" s="14" t="s">
        <v>14</v>
      </c>
      <c r="E8" s="14" t="s">
        <v>23</v>
      </c>
      <c r="F8" s="15" t="s">
        <v>24</v>
      </c>
      <c r="G8" s="16" t="n">
        <f aca="false">MAX(0,C8-K8)</f>
        <v>16</v>
      </c>
      <c r="H8" s="10" t="s">
        <v>17</v>
      </c>
      <c r="I8" s="17" t="s">
        <v>27</v>
      </c>
      <c r="K8" s="4" t="n">
        <v>29</v>
      </c>
    </row>
    <row r="9" customFormat="false" ht="26.85" hidden="false" customHeight="false" outlineLevel="0" collapsed="false">
      <c r="A9" s="5" t="s">
        <v>28</v>
      </c>
      <c r="B9" s="6" t="s">
        <v>22</v>
      </c>
      <c r="C9" s="7" t="n">
        <v>45</v>
      </c>
      <c r="D9" s="7" t="s">
        <v>14</v>
      </c>
      <c r="E9" s="7" t="s">
        <v>29</v>
      </c>
      <c r="F9" s="8" t="s">
        <v>30</v>
      </c>
      <c r="G9" s="9" t="n">
        <f aca="false">MAX(0,C9-K9)</f>
        <v>14</v>
      </c>
      <c r="H9" s="10" t="s">
        <v>17</v>
      </c>
      <c r="I9" s="11" t="s">
        <v>31</v>
      </c>
      <c r="K9" s="4" t="n">
        <v>31</v>
      </c>
    </row>
    <row r="10" customFormat="false" ht="26.85" hidden="false" customHeight="false" outlineLevel="0" collapsed="false">
      <c r="A10" s="12" t="s">
        <v>32</v>
      </c>
      <c r="B10" s="13" t="s">
        <v>22</v>
      </c>
      <c r="C10" s="14" t="n">
        <v>45</v>
      </c>
      <c r="D10" s="14" t="s">
        <v>14</v>
      </c>
      <c r="E10" s="14" t="s">
        <v>23</v>
      </c>
      <c r="F10" s="15" t="s">
        <v>24</v>
      </c>
      <c r="G10" s="16" t="n">
        <f aca="false">MAX(0,C10-K10)</f>
        <v>16</v>
      </c>
      <c r="H10" s="10" t="s">
        <v>17</v>
      </c>
      <c r="I10" s="17" t="s">
        <v>33</v>
      </c>
      <c r="K10" s="4" t="n">
        <v>29</v>
      </c>
    </row>
    <row r="11" customFormat="false" ht="39.55" hidden="false" customHeight="false" outlineLevel="0" collapsed="false">
      <c r="A11" s="5" t="s">
        <v>34</v>
      </c>
      <c r="B11" s="6" t="s">
        <v>35</v>
      </c>
      <c r="C11" s="7" t="n">
        <v>45</v>
      </c>
      <c r="D11" s="7" t="s">
        <v>14</v>
      </c>
      <c r="E11" s="7" t="s">
        <v>36</v>
      </c>
      <c r="F11" s="8" t="s">
        <v>37</v>
      </c>
      <c r="G11" s="9" t="n">
        <f aca="false">MAX(0,C11-K11)</f>
        <v>3</v>
      </c>
      <c r="H11" s="18" t="s">
        <v>38</v>
      </c>
      <c r="I11" s="11" t="s">
        <v>39</v>
      </c>
      <c r="K11" s="4" t="n">
        <v>42</v>
      </c>
    </row>
    <row r="12" customFormat="false" ht="39.55" hidden="false" customHeight="false" outlineLevel="0" collapsed="false">
      <c r="A12" s="12" t="s">
        <v>40</v>
      </c>
      <c r="B12" s="13" t="s">
        <v>41</v>
      </c>
      <c r="C12" s="14" t="n">
        <v>32</v>
      </c>
      <c r="D12" s="14" t="s">
        <v>14</v>
      </c>
      <c r="E12" s="14" t="s">
        <v>36</v>
      </c>
      <c r="F12" s="15" t="s">
        <v>42</v>
      </c>
      <c r="G12" s="16" t="n">
        <f aca="false">MAX(0,C12-K12)</f>
        <v>0</v>
      </c>
      <c r="H12" s="19" t="s">
        <v>43</v>
      </c>
      <c r="I12" s="17" t="s">
        <v>44</v>
      </c>
      <c r="K12" s="4" t="n">
        <v>34</v>
      </c>
    </row>
    <row r="13" customFormat="false" ht="26.85" hidden="false" customHeight="false" outlineLevel="0" collapsed="false">
      <c r="A13" s="5" t="s">
        <v>45</v>
      </c>
      <c r="B13" s="6" t="s">
        <v>41</v>
      </c>
      <c r="C13" s="7" t="n">
        <v>32</v>
      </c>
      <c r="D13" s="7" t="s">
        <v>14</v>
      </c>
      <c r="E13" s="7" t="s">
        <v>36</v>
      </c>
      <c r="F13" s="8" t="s">
        <v>42</v>
      </c>
      <c r="G13" s="9" t="n">
        <f aca="false">MAX(0,C13-K13)</f>
        <v>0</v>
      </c>
      <c r="H13" s="19" t="s">
        <v>43</v>
      </c>
      <c r="I13" s="11" t="s">
        <v>46</v>
      </c>
      <c r="K13" s="4" t="n">
        <v>34</v>
      </c>
    </row>
    <row r="14" customFormat="false" ht="26.85" hidden="false" customHeight="false" outlineLevel="0" collapsed="false">
      <c r="A14" s="12" t="s">
        <v>47</v>
      </c>
      <c r="B14" s="13" t="s">
        <v>41</v>
      </c>
      <c r="C14" s="14" t="n">
        <v>32</v>
      </c>
      <c r="D14" s="14" t="s">
        <v>14</v>
      </c>
      <c r="E14" s="14" t="s">
        <v>48</v>
      </c>
      <c r="F14" s="15" t="s">
        <v>49</v>
      </c>
      <c r="G14" s="16" t="n">
        <f aca="false">MAX(0,C14-K14)</f>
        <v>0</v>
      </c>
      <c r="H14" s="19" t="s">
        <v>43</v>
      </c>
      <c r="I14" s="17" t="s">
        <v>50</v>
      </c>
      <c r="K14" s="4" t="n">
        <v>36</v>
      </c>
    </row>
    <row r="15" customFormat="false" ht="26.85" hidden="false" customHeight="false" outlineLevel="0" collapsed="false">
      <c r="A15" s="5" t="s">
        <v>51</v>
      </c>
      <c r="B15" s="6" t="s">
        <v>52</v>
      </c>
      <c r="C15" s="7" t="n">
        <v>16</v>
      </c>
      <c r="D15" s="7" t="s">
        <v>14</v>
      </c>
      <c r="E15" s="7" t="s">
        <v>53</v>
      </c>
      <c r="F15" s="8" t="s">
        <v>54</v>
      </c>
      <c r="G15" s="9" t="n">
        <f aca="false">MAX(0,C15-K15)</f>
        <v>0</v>
      </c>
      <c r="H15" s="19" t="s">
        <v>43</v>
      </c>
      <c r="I15" s="11" t="s">
        <v>55</v>
      </c>
      <c r="K15" s="4" t="n">
        <v>16</v>
      </c>
    </row>
    <row r="16" customFormat="false" ht="39.55" hidden="false" customHeight="false" outlineLevel="0" collapsed="false">
      <c r="A16" s="12" t="s">
        <v>56</v>
      </c>
      <c r="B16" s="13" t="s">
        <v>13</v>
      </c>
      <c r="C16" s="14" t="n">
        <v>18</v>
      </c>
      <c r="D16" s="14" t="s">
        <v>14</v>
      </c>
      <c r="E16" s="14" t="s">
        <v>15</v>
      </c>
      <c r="F16" s="15" t="s">
        <v>57</v>
      </c>
      <c r="G16" s="16" t="n">
        <f aca="false">MAX(0,C16-K16)</f>
        <v>0</v>
      </c>
      <c r="H16" s="19" t="s">
        <v>43</v>
      </c>
      <c r="I16" s="17" t="s">
        <v>58</v>
      </c>
      <c r="K16" s="4" t="n">
        <v>19</v>
      </c>
    </row>
    <row r="17" customFormat="false" ht="39.55" hidden="false" customHeight="false" outlineLevel="0" collapsed="false">
      <c r="A17" s="5" t="s">
        <v>59</v>
      </c>
      <c r="B17" s="6" t="s">
        <v>60</v>
      </c>
      <c r="C17" s="7" t="n">
        <v>32</v>
      </c>
      <c r="D17" s="7" t="s">
        <v>61</v>
      </c>
      <c r="E17" s="7" t="s">
        <v>62</v>
      </c>
      <c r="F17" s="8" t="s">
        <v>63</v>
      </c>
      <c r="G17" s="9" t="n">
        <f aca="false">MAX(0,C17-K17)</f>
        <v>0</v>
      </c>
      <c r="H17" s="19" t="s">
        <v>43</v>
      </c>
      <c r="I17" s="11" t="s">
        <v>64</v>
      </c>
      <c r="K17" s="4" t="n">
        <v>35</v>
      </c>
    </row>
    <row r="18" customFormat="false" ht="26.85" hidden="false" customHeight="false" outlineLevel="0" collapsed="false">
      <c r="A18" s="12" t="s">
        <v>65</v>
      </c>
      <c r="B18" s="13" t="s">
        <v>60</v>
      </c>
      <c r="C18" s="14" t="n">
        <v>13</v>
      </c>
      <c r="D18" s="14" t="s">
        <v>66</v>
      </c>
      <c r="E18" s="14" t="s">
        <v>53</v>
      </c>
      <c r="F18" s="15" t="s">
        <v>67</v>
      </c>
      <c r="G18" s="16" t="n">
        <f aca="false">MAX(0,C18-K18)</f>
        <v>0</v>
      </c>
      <c r="H18" s="19" t="s">
        <v>43</v>
      </c>
      <c r="I18" s="17" t="s">
        <v>68</v>
      </c>
      <c r="K18" s="4" t="n">
        <v>13</v>
      </c>
    </row>
    <row r="19" customFormat="false" ht="26.85" hidden="false" customHeight="false" outlineLevel="0" collapsed="false">
      <c r="A19" s="5" t="s">
        <v>69</v>
      </c>
      <c r="B19" s="6" t="s">
        <v>70</v>
      </c>
      <c r="C19" s="7" t="n">
        <v>93</v>
      </c>
      <c r="D19" s="7" t="s">
        <v>14</v>
      </c>
      <c r="E19" s="7" t="s">
        <v>71</v>
      </c>
      <c r="F19" s="8" t="s">
        <v>72</v>
      </c>
      <c r="G19" s="9" t="n">
        <f aca="false">MAX(0,C19-K19)</f>
        <v>6</v>
      </c>
      <c r="H19" s="18" t="s">
        <v>38</v>
      </c>
      <c r="I19" s="11" t="s">
        <v>73</v>
      </c>
      <c r="K19" s="4" t="n">
        <v>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7"/>
    <col collapsed="false" customWidth="true" hidden="false" outlineLevel="0" max="4" min="3" style="0" width="14"/>
    <col collapsed="false" customWidth="true" hidden="false" outlineLevel="0" max="5" min="5" style="0" width="40"/>
    <col collapsed="false" customWidth="true" hidden="false" outlineLevel="0" max="6" min="6" style="0" width="17"/>
  </cols>
  <sheetData>
    <row r="1" customFormat="false" ht="16.15" hidden="false" customHeight="false" outlineLevel="0" collapsed="false">
      <c r="A1" s="20" t="s">
        <v>74</v>
      </c>
    </row>
    <row r="2" customFormat="false" ht="15" hidden="false" customHeight="false" outlineLevel="0" collapsed="false">
      <c r="A2" s="2" t="s">
        <v>75</v>
      </c>
    </row>
    <row r="4" customFormat="false" ht="30" hidden="false" customHeight="true" outlineLevel="0" collapsed="false">
      <c r="A4" s="3" t="s">
        <v>76</v>
      </c>
      <c r="B4" s="3" t="s">
        <v>77</v>
      </c>
      <c r="C4" s="3" t="s">
        <v>78</v>
      </c>
      <c r="D4" s="3" t="s">
        <v>79</v>
      </c>
      <c r="E4" s="3" t="s">
        <v>80</v>
      </c>
      <c r="F4" s="3" t="s">
        <v>81</v>
      </c>
    </row>
    <row r="5" customFormat="false" ht="26.85" hidden="false" customHeight="false" outlineLevel="0" collapsed="false">
      <c r="A5" s="21" t="s">
        <v>82</v>
      </c>
      <c r="B5" s="22" t="s">
        <v>83</v>
      </c>
      <c r="C5" s="22" t="s">
        <v>84</v>
      </c>
      <c r="D5" s="22" t="s">
        <v>85</v>
      </c>
      <c r="E5" s="23" t="s">
        <v>86</v>
      </c>
      <c r="F5" s="23" t="s">
        <v>87</v>
      </c>
    </row>
    <row r="6" customFormat="false" ht="26.85" hidden="false" customHeight="false" outlineLevel="0" collapsed="false">
      <c r="A6" s="24" t="s">
        <v>88</v>
      </c>
      <c r="B6" s="25" t="s">
        <v>89</v>
      </c>
      <c r="C6" s="25" t="s">
        <v>90</v>
      </c>
      <c r="D6" s="25" t="s">
        <v>66</v>
      </c>
      <c r="E6" s="26" t="s">
        <v>91</v>
      </c>
      <c r="F6" s="26" t="s">
        <v>87</v>
      </c>
    </row>
    <row r="7" customFormat="false" ht="26.85" hidden="false" customHeight="false" outlineLevel="0" collapsed="false">
      <c r="A7" s="21" t="s">
        <v>92</v>
      </c>
      <c r="B7" s="22" t="s">
        <v>93</v>
      </c>
      <c r="C7" s="22" t="s">
        <v>94</v>
      </c>
      <c r="D7" s="22" t="s">
        <v>66</v>
      </c>
      <c r="E7" s="23" t="s">
        <v>95</v>
      </c>
      <c r="F7" s="23" t="s">
        <v>87</v>
      </c>
    </row>
    <row r="8" customFormat="false" ht="26.85" hidden="false" customHeight="false" outlineLevel="0" collapsed="false">
      <c r="A8" s="24" t="s">
        <v>96</v>
      </c>
      <c r="B8" s="25" t="s">
        <v>97</v>
      </c>
      <c r="C8" s="25" t="s">
        <v>98</v>
      </c>
      <c r="D8" s="25" t="s">
        <v>99</v>
      </c>
      <c r="E8" s="26" t="s">
        <v>100</v>
      </c>
      <c r="F8" s="26" t="s">
        <v>101</v>
      </c>
    </row>
    <row r="9" customFormat="false" ht="26.85" hidden="false" customHeight="false" outlineLevel="0" collapsed="false">
      <c r="A9" s="21" t="s">
        <v>102</v>
      </c>
      <c r="B9" s="22" t="s">
        <v>103</v>
      </c>
      <c r="C9" s="22" t="s">
        <v>104</v>
      </c>
      <c r="D9" s="22" t="s">
        <v>14</v>
      </c>
      <c r="E9" s="23" t="s">
        <v>105</v>
      </c>
      <c r="F9" s="23" t="s">
        <v>106</v>
      </c>
    </row>
    <row r="10" customFormat="false" ht="26.85" hidden="false" customHeight="false" outlineLevel="0" collapsed="false">
      <c r="A10" s="24" t="s">
        <v>107</v>
      </c>
      <c r="B10" s="25" t="s">
        <v>108</v>
      </c>
      <c r="C10" s="25" t="s">
        <v>109</v>
      </c>
      <c r="D10" s="25" t="s">
        <v>14</v>
      </c>
      <c r="E10" s="26" t="s">
        <v>110</v>
      </c>
      <c r="F10" s="26" t="s">
        <v>111</v>
      </c>
    </row>
    <row r="11" customFormat="false" ht="26.85" hidden="false" customHeight="false" outlineLevel="0" collapsed="false">
      <c r="A11" s="21" t="s">
        <v>112</v>
      </c>
      <c r="B11" s="22" t="s">
        <v>113</v>
      </c>
      <c r="C11" s="22" t="s">
        <v>114</v>
      </c>
      <c r="D11" s="22" t="s">
        <v>14</v>
      </c>
      <c r="E11" s="23" t="s">
        <v>115</v>
      </c>
      <c r="F11" s="23" t="s">
        <v>116</v>
      </c>
    </row>
    <row r="12" customFormat="false" ht="15" hidden="false" customHeight="false" outlineLevel="0" collapsed="false">
      <c r="A12" s="24" t="s">
        <v>117</v>
      </c>
      <c r="B12" s="25" t="s">
        <v>118</v>
      </c>
      <c r="C12" s="25" t="s">
        <v>119</v>
      </c>
      <c r="D12" s="25" t="s">
        <v>14</v>
      </c>
      <c r="E12" s="26" t="s">
        <v>120</v>
      </c>
      <c r="F12" s="26" t="s">
        <v>121</v>
      </c>
    </row>
    <row r="13" customFormat="false" ht="15" hidden="false" customHeight="false" outlineLevel="0" collapsed="false">
      <c r="A13" s="21" t="s">
        <v>122</v>
      </c>
      <c r="B13" s="22" t="s">
        <v>123</v>
      </c>
      <c r="C13" s="22" t="s">
        <v>124</v>
      </c>
      <c r="D13" s="22" t="s">
        <v>14</v>
      </c>
      <c r="E13" s="23" t="s">
        <v>125</v>
      </c>
      <c r="F13" s="23" t="s">
        <v>121</v>
      </c>
    </row>
    <row r="14" customFormat="false" ht="26.85" hidden="false" customHeight="false" outlineLevel="0" collapsed="false">
      <c r="A14" s="24" t="s">
        <v>126</v>
      </c>
      <c r="B14" s="25" t="s">
        <v>127</v>
      </c>
      <c r="C14" s="25" t="s">
        <v>114</v>
      </c>
      <c r="D14" s="25" t="s">
        <v>14</v>
      </c>
      <c r="E14" s="26" t="s">
        <v>128</v>
      </c>
      <c r="F14" s="26" t="s">
        <v>129</v>
      </c>
    </row>
    <row r="15" customFormat="false" ht="26.85" hidden="false" customHeight="false" outlineLevel="0" collapsed="false">
      <c r="A15" s="21" t="s">
        <v>130</v>
      </c>
      <c r="B15" s="22" t="s">
        <v>131</v>
      </c>
      <c r="C15" s="22" t="s">
        <v>132</v>
      </c>
      <c r="D15" s="22" t="s">
        <v>14</v>
      </c>
      <c r="E15" s="23" t="s">
        <v>133</v>
      </c>
      <c r="F15" s="23" t="s">
        <v>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2026-07-17T11:08:19Z</dcterms:created>
  <dc:creator>openpyxl</dc:creator>
  <dc:description/>
  <dc:language>en-US</dc:language>
  <cp:lastModifiedBy/>
  <dcterms:modified xsi:type="dcterms:W3CDTF">2026-07-17T11:08:19Z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